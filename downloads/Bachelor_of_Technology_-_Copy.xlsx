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20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FB3"/>
        <bgColor rgb="00FFFFB3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0" borderId="6" pivotButton="0" quotePrefix="0" xfId="0"/>
    <xf numFmtId="0" fontId="1" fillId="0" borderId="7" applyAlignment="1" pivotButton="0" quotePrefix="0" xfId="0">
      <alignment vertical="center" wrapText="1"/>
    </xf>
    <xf numFmtId="0" fontId="0" fillId="0" borderId="8" pivotButton="0" quotePrefix="0" xfId="0"/>
    <xf numFmtId="0" fontId="1" fillId="0" borderId="8" applyAlignment="1" pivotButton="0" quotePrefix="0" xfId="0">
      <alignment vertical="center" wrapText="1"/>
    </xf>
    <xf numFmtId="0" fontId="0" fillId="0" borderId="9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0" fontId="0" fillId="0" borderId="1" applyAlignment="1" pivotButton="0" quotePrefix="0" xfId="0">
      <alignment horizontal="center" vertical="center" wrapText="1"/>
    </xf>
    <xf numFmtId="1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25" customWidth="1" min="24" max="24"/>
    <col width="15" customWidth="1" min="25" max="25"/>
  </cols>
  <sheetData>
    <row r="1" ht="110" customHeight="1">
      <c r="C1" s="1" t="inlineStr">
        <is>
          <t>PEOPLE’S EDUCATION SOCIETY’S P.E.S. COLLEGE OF ENGINEERING Chh. Sambhajinagar - 431002 NAAC Accredited &amp; Autonomous Institution</t>
        </is>
      </c>
    </row>
    <row r="2"/>
    <row r="3"/>
    <row r="4"/>
    <row r="5" ht="35" customHeight="1">
      <c r="A5" s="2" t="n"/>
      <c r="B5" s="3" t="inlineStr">
        <is>
          <t>RESULT ANALYSIS</t>
        </is>
      </c>
      <c r="C5" s="4" t="n"/>
      <c r="D5" s="4" t="n"/>
      <c r="E5" s="4" t="n"/>
      <c r="F5" s="4" t="n"/>
      <c r="G5" s="4" t="n"/>
      <c r="H5" s="4" t="n"/>
      <c r="I5" s="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B6" s="6" t="inlineStr">
        <is>
          <t>Academic Year:</t>
        </is>
      </c>
      <c r="C6" s="7" t="inlineStr">
        <is>
          <t>2025-26</t>
        </is>
      </c>
      <c r="D6" s="8" t="n"/>
      <c r="E6" s="8" t="n"/>
      <c r="F6" s="7" t="inlineStr">
        <is>
          <t>Semester:</t>
        </is>
      </c>
      <c r="G6" s="8" t="n"/>
      <c r="H6" s="7" t="inlineStr">
        <is>
          <t>1</t>
        </is>
      </c>
      <c r="I6" s="9" t="n"/>
      <c r="K6" s="6" t="inlineStr">
        <is>
          <t>Form No.:</t>
        </is>
      </c>
      <c r="L6" s="8" t="n"/>
      <c r="M6" s="8" t="n"/>
      <c r="N6" s="7" t="inlineStr">
        <is>
          <t>AC-11A</t>
        </is>
      </c>
      <c r="O6" s="8" t="n"/>
      <c r="P6" s="9" t="n"/>
    </row>
    <row r="7">
      <c r="B7" s="10" t="inlineStr">
        <is>
          <t>Result Name:</t>
        </is>
      </c>
      <c r="C7" s="11" t="inlineStr">
        <is>
          <t>fsd</t>
        </is>
      </c>
      <c r="F7" s="11" t="inlineStr">
        <is>
          <t>Class:</t>
        </is>
      </c>
      <c r="H7" s="11" t="inlineStr">
        <is>
          <t>First year</t>
        </is>
      </c>
      <c r="I7" s="12" t="n"/>
      <c r="K7" s="13" t="inlineStr">
        <is>
          <t>Rev. No. | Issue Date:</t>
        </is>
      </c>
      <c r="L7" s="14" t="n"/>
      <c r="M7" s="14" t="n"/>
      <c r="N7" s="15" t="inlineStr">
        <is>
          <t>00 | OCT 01, 2025</t>
        </is>
      </c>
      <c r="O7" s="14" t="n"/>
      <c r="P7" s="16" t="n"/>
    </row>
    <row r="8">
      <c r="B8" s="13" t="inlineStr">
        <is>
          <t>Department:</t>
        </is>
      </c>
      <c r="C8" s="15" t="inlineStr">
        <is>
          <t>sfd</t>
        </is>
      </c>
      <c r="D8" s="14" t="n"/>
      <c r="E8" s="14" t="n"/>
      <c r="F8" s="15" t="inlineStr">
        <is>
          <t>Course Code:</t>
        </is>
      </c>
      <c r="G8" s="14" t="n"/>
      <c r="H8" s="15" t="inlineStr">
        <is>
          <t>sdf</t>
        </is>
      </c>
      <c r="I8" s="16" t="n"/>
    </row>
    <row r="9"/>
    <row r="10">
      <c r="A10" s="17" t="inlineStr">
        <is>
          <t>Sr. No.</t>
        </is>
      </c>
      <c r="B10" s="17" t="inlineStr">
        <is>
          <t>Subject Code:</t>
        </is>
      </c>
      <c r="C10" s="18" t="n"/>
      <c r="D10" s="17" t="inlineStr">
        <is>
          <t>BTBS404</t>
        </is>
      </c>
      <c r="E10" s="18" t="n"/>
      <c r="F10" s="17" t="inlineStr">
        <is>
          <t>BTEEC401</t>
        </is>
      </c>
      <c r="G10" s="18" t="n"/>
      <c r="H10" s="17" t="inlineStr">
        <is>
          <t>BTEEC402</t>
        </is>
      </c>
      <c r="I10" s="18" t="n"/>
      <c r="J10" s="17" t="inlineStr">
        <is>
          <t>BTEEC403</t>
        </is>
      </c>
      <c r="K10" s="18" t="n"/>
      <c r="L10" s="17" t="inlineStr">
        <is>
          <t>BTEEL406</t>
        </is>
      </c>
      <c r="M10" s="18" t="n"/>
      <c r="N10" s="17" t="inlineStr">
        <is>
          <t>BTEEL407</t>
        </is>
      </c>
      <c r="O10" s="18" t="n"/>
      <c r="P10" s="17" t="inlineStr">
        <is>
          <t>BTEEL408</t>
        </is>
      </c>
      <c r="Q10" s="18" t="n"/>
      <c r="R10" s="17" t="inlineStr">
        <is>
          <t>BTEEL409</t>
        </is>
      </c>
      <c r="S10" s="18" t="n"/>
      <c r="T10" s="17" t="inlineStr">
        <is>
          <t>BTEEPE405C</t>
        </is>
      </c>
      <c r="U10" s="18" t="n"/>
      <c r="V10" s="17" t="inlineStr">
        <is>
          <t>BTUHV34</t>
        </is>
      </c>
      <c r="W10" s="18" t="n"/>
      <c r="X10" s="17" t="inlineStr">
        <is>
          <t>Remarks</t>
        </is>
      </c>
      <c r="Y10" s="17" t="inlineStr">
        <is>
          <t>SGPA</t>
        </is>
      </c>
    </row>
    <row r="11" ht="60" customHeight="1">
      <c r="A11" s="18" t="n"/>
      <c r="B11" s="17" t="inlineStr">
        <is>
          <t>Subject Name:</t>
        </is>
      </c>
      <c r="C11" s="18" t="n"/>
      <c r="D11" s="17" t="inlineStr">
        <is>
          <t>ANALOG AND DIGITAL ELECTRONICS</t>
        </is>
      </c>
      <c r="E11" s="18" t="n"/>
      <c r="F11" s="17" t="inlineStr">
        <is>
          <t>NETWORK THEORY</t>
        </is>
      </c>
      <c r="G11" s="18" t="n"/>
      <c r="H11" s="17" t="inlineStr">
        <is>
          <t>POWER SYSTEM</t>
        </is>
      </c>
      <c r="I11" s="18" t="n"/>
      <c r="J11" s="17" t="inlineStr">
        <is>
          <t>ELECTRICAL MACHINE-II</t>
        </is>
      </c>
      <c r="K11" s="18" t="n"/>
      <c r="L11" s="17" t="inlineStr">
        <is>
          <t>NETWORK THEORY LAB</t>
        </is>
      </c>
      <c r="M11" s="18" t="n"/>
      <c r="N11" s="17" t="inlineStr">
        <is>
          <t>POWER SYSTEM LAB</t>
        </is>
      </c>
      <c r="O11" s="18" t="n"/>
      <c r="P11" s="17" t="inlineStr">
        <is>
          <t>ELECTRICAL MACHINE-II LAB</t>
        </is>
      </c>
      <c r="Q11" s="18" t="n"/>
      <c r="R11" s="17" t="inlineStr">
        <is>
          <t>ANALOG AND DIGITAL ELECTRONICS LAB</t>
        </is>
      </c>
      <c r="S11" s="18" t="n"/>
      <c r="T11" s="17" t="inlineStr">
        <is>
          <t>ADVANCE RENEWABLE ENERGY SOURCES</t>
        </is>
      </c>
      <c r="U11" s="18" t="n"/>
      <c r="V11" s="17" t="inlineStr">
        <is>
          <t>UNIVERSAL HUMAN VALUES - II</t>
        </is>
      </c>
      <c r="W11" s="18" t="n"/>
      <c r="X11" s="18" t="n"/>
      <c r="Y11" s="18" t="n"/>
    </row>
    <row r="12" ht="50" customHeight="1">
      <c r="A12" s="18" t="n"/>
      <c r="B12" s="17" t="inlineStr">
        <is>
          <t>Subject Teacher:</t>
        </is>
      </c>
      <c r="C12" s="18" t="n"/>
      <c r="D12" s="17" t="inlineStr">
        <is>
          <t>f</t>
        </is>
      </c>
      <c r="E12" s="18" t="n"/>
      <c r="F12" s="17" t="inlineStr">
        <is>
          <t>f</t>
        </is>
      </c>
      <c r="G12" s="18" t="n"/>
      <c r="H12" s="17" t="inlineStr">
        <is>
          <t>f</t>
        </is>
      </c>
      <c r="I12" s="18" t="n"/>
      <c r="J12" s="17" t="inlineStr">
        <is>
          <t>f</t>
        </is>
      </c>
      <c r="K12" s="18" t="n"/>
      <c r="L12" s="17" t="inlineStr">
        <is>
          <t>f</t>
        </is>
      </c>
      <c r="M12" s="18" t="n"/>
      <c r="N12" s="17" t="inlineStr">
        <is>
          <t>f</t>
        </is>
      </c>
      <c r="O12" s="18" t="n"/>
      <c r="P12" s="17" t="inlineStr">
        <is>
          <t>f</t>
        </is>
      </c>
      <c r="Q12" s="18" t="n"/>
      <c r="R12" s="17" t="inlineStr">
        <is>
          <t>f</t>
        </is>
      </c>
      <c r="S12" s="18" t="n"/>
      <c r="T12" s="17" t="inlineStr">
        <is>
          <t>f</t>
        </is>
      </c>
      <c r="U12" s="18" t="n"/>
      <c r="V12" s="17" t="inlineStr">
        <is>
          <t>f</t>
        </is>
      </c>
      <c r="W12" s="18" t="n"/>
      <c r="X12" s="18" t="n"/>
      <c r="Y12" s="18" t="n"/>
    </row>
    <row r="13">
      <c r="A13" s="18" t="n"/>
      <c r="B13" s="17" t="inlineStr">
        <is>
          <t>PRN</t>
        </is>
      </c>
      <c r="C13" s="17" t="inlineStr">
        <is>
          <t>Student Name</t>
        </is>
      </c>
      <c r="D13" s="17" t="inlineStr">
        <is>
          <t>Total Marks</t>
        </is>
      </c>
      <c r="E13" s="17" t="inlineStr">
        <is>
          <t>Grade</t>
        </is>
      </c>
      <c r="F13" s="17" t="inlineStr">
        <is>
          <t>Total Marks</t>
        </is>
      </c>
      <c r="G13" s="17" t="inlineStr">
        <is>
          <t>Grade</t>
        </is>
      </c>
      <c r="H13" s="17" t="inlineStr">
        <is>
          <t>Total Marks</t>
        </is>
      </c>
      <c r="I13" s="17" t="inlineStr">
        <is>
          <t>Grade</t>
        </is>
      </c>
      <c r="J13" s="17" t="inlineStr">
        <is>
          <t>Total Marks</t>
        </is>
      </c>
      <c r="K13" s="17" t="inlineStr">
        <is>
          <t>Grade</t>
        </is>
      </c>
      <c r="L13" s="17" t="inlineStr">
        <is>
          <t>Total Marks</t>
        </is>
      </c>
      <c r="M13" s="17" t="inlineStr">
        <is>
          <t>Grade</t>
        </is>
      </c>
      <c r="N13" s="17" t="inlineStr">
        <is>
          <t>Total Marks</t>
        </is>
      </c>
      <c r="O13" s="17" t="inlineStr">
        <is>
          <t>Grade</t>
        </is>
      </c>
      <c r="P13" s="17" t="inlineStr">
        <is>
          <t>Total Marks</t>
        </is>
      </c>
      <c r="Q13" s="17" t="inlineStr">
        <is>
          <t>Grade</t>
        </is>
      </c>
      <c r="R13" s="17" t="inlineStr">
        <is>
          <t>Total Marks</t>
        </is>
      </c>
      <c r="S13" s="17" t="inlineStr">
        <is>
          <t>Grade</t>
        </is>
      </c>
      <c r="T13" s="17" t="inlineStr">
        <is>
          <t>Total Marks</t>
        </is>
      </c>
      <c r="U13" s="17" t="inlineStr">
        <is>
          <t>Grade</t>
        </is>
      </c>
      <c r="V13" s="17" t="inlineStr">
        <is>
          <t>Total Marks</t>
        </is>
      </c>
      <c r="W13" s="17" t="inlineStr">
        <is>
          <t>Grade</t>
        </is>
      </c>
      <c r="X13" s="17" t="inlineStr"/>
      <c r="Y13" s="17" t="inlineStr"/>
    </row>
    <row r="14">
      <c r="A14" s="17" t="n">
        <v>1</v>
      </c>
      <c r="B14" s="19" t="n">
        <v>23021341293001</v>
      </c>
      <c r="C14" s="20" t="inlineStr">
        <is>
          <t>Wankhade Yash Ramkrushna</t>
        </is>
      </c>
      <c r="D14" s="18" t="n">
        <v>57</v>
      </c>
      <c r="E14" s="18" t="inlineStr">
        <is>
          <t>PASS</t>
        </is>
      </c>
      <c r="F14" s="18" t="n">
        <v>35</v>
      </c>
      <c r="G14" s="21" t="inlineStr">
        <is>
          <t>FAIL</t>
        </is>
      </c>
      <c r="H14" s="18" t="n">
        <v>47</v>
      </c>
      <c r="I14" s="18" t="inlineStr">
        <is>
          <t>PASS</t>
        </is>
      </c>
      <c r="J14" s="18" t="n">
        <v>57</v>
      </c>
      <c r="K14" s="18" t="inlineStr">
        <is>
          <t>PASS</t>
        </is>
      </c>
      <c r="L14" s="18" t="n">
        <v>36</v>
      </c>
      <c r="M14" s="18" t="inlineStr">
        <is>
          <t>PASS</t>
        </is>
      </c>
      <c r="N14" s="18" t="n">
        <v>36</v>
      </c>
      <c r="O14" s="18" t="inlineStr">
        <is>
          <t>PASS</t>
        </is>
      </c>
      <c r="P14" s="18" t="n">
        <v>38</v>
      </c>
      <c r="Q14" s="18" t="inlineStr">
        <is>
          <t>PASS</t>
        </is>
      </c>
      <c r="R14" s="18" t="n">
        <v>34</v>
      </c>
      <c r="S14" s="18" t="inlineStr">
        <is>
          <t>PASS</t>
        </is>
      </c>
      <c r="T14" s="18" t="n">
        <v>79</v>
      </c>
      <c r="U14" s="18" t="inlineStr">
        <is>
          <t>PASS</t>
        </is>
      </c>
      <c r="V14" s="18" t="n">
        <v>63</v>
      </c>
      <c r="W14" s="18" t="inlineStr">
        <is>
          <t>PASS</t>
        </is>
      </c>
      <c r="X14" s="18" t="inlineStr">
        <is>
          <t>Failed in 1 subject(s)</t>
        </is>
      </c>
      <c r="Y14" s="18" t="inlineStr">
        <is>
          <t>18.00, 116.00</t>
        </is>
      </c>
    </row>
    <row r="15">
      <c r="A15" s="17" t="n">
        <v>2</v>
      </c>
      <c r="B15" s="19" t="n">
        <v>23021341293002</v>
      </c>
      <c r="C15" s="20" t="inlineStr">
        <is>
          <t>Khillare Anushka Eknath</t>
        </is>
      </c>
      <c r="D15" s="18" t="n">
        <v>35</v>
      </c>
      <c r="E15" s="21" t="inlineStr">
        <is>
          <t>FAIL</t>
        </is>
      </c>
      <c r="F15" s="18" t="n">
        <v>57</v>
      </c>
      <c r="G15" s="18" t="inlineStr">
        <is>
          <t>PASS</t>
        </is>
      </c>
      <c r="H15" s="18" t="n">
        <v>49</v>
      </c>
      <c r="I15" s="18" t="inlineStr">
        <is>
          <t>PASS</t>
        </is>
      </c>
      <c r="J15" s="18" t="n">
        <v>39</v>
      </c>
      <c r="K15" s="21" t="inlineStr">
        <is>
          <t>FAIL</t>
        </is>
      </c>
      <c r="L15" s="18" t="n">
        <v>39</v>
      </c>
      <c r="M15" s="18" t="inlineStr">
        <is>
          <t>PASS</t>
        </is>
      </c>
      <c r="N15" s="18" t="n">
        <v>41</v>
      </c>
      <c r="O15" s="18" t="inlineStr">
        <is>
          <t>PASS</t>
        </is>
      </c>
      <c r="P15" s="18" t="n">
        <v>38</v>
      </c>
      <c r="Q15" s="18" t="inlineStr">
        <is>
          <t>PASS</t>
        </is>
      </c>
      <c r="R15" s="18" t="n">
        <v>42</v>
      </c>
      <c r="S15" s="18" t="inlineStr">
        <is>
          <t>PASS</t>
        </is>
      </c>
      <c r="T15" s="18" t="n">
        <v>52</v>
      </c>
      <c r="U15" s="18" t="inlineStr">
        <is>
          <t>PASS</t>
        </is>
      </c>
      <c r="V15" s="18" t="n">
        <v>57</v>
      </c>
      <c r="W15" s="18" t="inlineStr">
        <is>
          <t>PASS</t>
        </is>
      </c>
      <c r="X15" s="18" t="inlineStr">
        <is>
          <t>Failed in 2 subject(s)</t>
        </is>
      </c>
      <c r="Y15" s="18" t="inlineStr">
        <is>
          <t>15.00, 93.50</t>
        </is>
      </c>
    </row>
    <row r="16">
      <c r="A16" s="17" t="n">
        <v>3</v>
      </c>
      <c r="B16" s="19" t="n">
        <v>23021341293003</v>
      </c>
      <c r="C16" s="20" t="inlineStr">
        <is>
          <t>Babhulkar Milind Ramesh</t>
        </is>
      </c>
      <c r="D16" s="18" t="n">
        <v>57</v>
      </c>
      <c r="E16" s="18" t="inlineStr">
        <is>
          <t>PASS</t>
        </is>
      </c>
      <c r="F16" s="18" t="n">
        <v>80</v>
      </c>
      <c r="G16" s="18" t="inlineStr">
        <is>
          <t>PASS</t>
        </is>
      </c>
      <c r="H16" s="18" t="n">
        <v>59</v>
      </c>
      <c r="I16" s="18" t="inlineStr">
        <is>
          <t>PASS</t>
        </is>
      </c>
      <c r="J16" s="18" t="n">
        <v>66</v>
      </c>
      <c r="K16" s="18" t="inlineStr">
        <is>
          <t>PASS</t>
        </is>
      </c>
      <c r="L16" s="18" t="n">
        <v>36</v>
      </c>
      <c r="M16" s="18" t="inlineStr">
        <is>
          <t>PASS</t>
        </is>
      </c>
      <c r="N16" s="18" t="n">
        <v>39</v>
      </c>
      <c r="O16" s="18" t="inlineStr">
        <is>
          <t>PASS</t>
        </is>
      </c>
      <c r="P16" s="18" t="n">
        <v>42</v>
      </c>
      <c r="Q16" s="18" t="inlineStr">
        <is>
          <t>PASS</t>
        </is>
      </c>
      <c r="R16" s="18" t="n">
        <v>43</v>
      </c>
      <c r="S16" s="18" t="inlineStr">
        <is>
          <t>PASS</t>
        </is>
      </c>
      <c r="T16" s="18" t="n">
        <v>75</v>
      </c>
      <c r="U16" s="18" t="inlineStr">
        <is>
          <t>PASS</t>
        </is>
      </c>
      <c r="V16" s="18" t="n">
        <v>78</v>
      </c>
      <c r="W16" s="18" t="inlineStr">
        <is>
          <t>PASS</t>
        </is>
      </c>
      <c r="X16" s="18" t="inlineStr">
        <is>
          <t>All Clear</t>
        </is>
      </c>
      <c r="Y16" s="18" t="inlineStr">
        <is>
          <t>22.00, 157.50</t>
        </is>
      </c>
    </row>
    <row r="17">
      <c r="A17" s="17" t="n">
        <v>4</v>
      </c>
      <c r="B17" s="19" t="n">
        <v>23021341293005</v>
      </c>
      <c r="C17" s="20" t="inlineStr">
        <is>
          <t>Dhengle Aditya Anurudra</t>
        </is>
      </c>
      <c r="D17" s="18" t="n">
        <v>54</v>
      </c>
      <c r="E17" s="18" t="inlineStr">
        <is>
          <t>PASS</t>
        </is>
      </c>
      <c r="F17" s="18" t="n">
        <v>37</v>
      </c>
      <c r="G17" s="21" t="inlineStr">
        <is>
          <t>FAIL</t>
        </is>
      </c>
      <c r="H17" s="18" t="n">
        <v>63</v>
      </c>
      <c r="I17" s="18" t="inlineStr">
        <is>
          <t>PASS</t>
        </is>
      </c>
      <c r="J17" s="18" t="n">
        <v>58</v>
      </c>
      <c r="K17" s="18" t="inlineStr">
        <is>
          <t>PASS</t>
        </is>
      </c>
      <c r="L17" s="18" t="n">
        <v>39</v>
      </c>
      <c r="M17" s="18" t="inlineStr">
        <is>
          <t>PASS</t>
        </is>
      </c>
      <c r="N17" s="18" t="n">
        <v>42</v>
      </c>
      <c r="O17" s="18" t="inlineStr">
        <is>
          <t>PASS</t>
        </is>
      </c>
      <c r="P17" s="18" t="n">
        <v>39</v>
      </c>
      <c r="Q17" s="18" t="inlineStr">
        <is>
          <t>PASS</t>
        </is>
      </c>
      <c r="R17" s="18" t="n">
        <v>40</v>
      </c>
      <c r="S17" s="18" t="inlineStr">
        <is>
          <t>PASS</t>
        </is>
      </c>
      <c r="T17" s="18" t="n">
        <v>82</v>
      </c>
      <c r="U17" s="18" t="inlineStr">
        <is>
          <t>PASS</t>
        </is>
      </c>
      <c r="V17" s="18" t="n">
        <v>69</v>
      </c>
      <c r="W17" s="18" t="inlineStr">
        <is>
          <t>PASS</t>
        </is>
      </c>
      <c r="X17" s="18" t="inlineStr">
        <is>
          <t>Failed in 1 subject(s)</t>
        </is>
      </c>
      <c r="Y17" s="18" t="inlineStr">
        <is>
          <t>18.00, 124.50</t>
        </is>
      </c>
    </row>
    <row r="18">
      <c r="A18" s="17" t="n">
        <v>5</v>
      </c>
      <c r="B18" s="19" t="n">
        <v>23021341293007</v>
      </c>
      <c r="C18" s="20" t="inlineStr">
        <is>
          <t>Khotkar Vaibhavi Vishwanath</t>
        </is>
      </c>
      <c r="D18" s="18" t="n">
        <v>56</v>
      </c>
      <c r="E18" s="18" t="inlineStr">
        <is>
          <t>PASS</t>
        </is>
      </c>
      <c r="F18" s="18" t="n">
        <v>50</v>
      </c>
      <c r="G18" s="18" t="inlineStr">
        <is>
          <t>PASS</t>
        </is>
      </c>
      <c r="H18" s="18" t="n">
        <v>50</v>
      </c>
      <c r="I18" s="18" t="inlineStr">
        <is>
          <t>PASS</t>
        </is>
      </c>
      <c r="J18" s="18" t="n">
        <v>50</v>
      </c>
      <c r="K18" s="21" t="inlineStr">
        <is>
          <t>FAIL</t>
        </is>
      </c>
      <c r="L18" s="18" t="n">
        <v>37</v>
      </c>
      <c r="M18" s="18" t="inlineStr">
        <is>
          <t>PASS</t>
        </is>
      </c>
      <c r="N18" s="18" t="n">
        <v>38</v>
      </c>
      <c r="O18" s="18" t="inlineStr">
        <is>
          <t>PASS</t>
        </is>
      </c>
      <c r="P18" s="18" t="n">
        <v>43</v>
      </c>
      <c r="Q18" s="18" t="inlineStr">
        <is>
          <t>PASS</t>
        </is>
      </c>
      <c r="R18" s="18" t="n">
        <v>44</v>
      </c>
      <c r="S18" s="18" t="inlineStr">
        <is>
          <t>PASS</t>
        </is>
      </c>
      <c r="T18" s="18" t="n">
        <v>68</v>
      </c>
      <c r="U18" s="18" t="inlineStr">
        <is>
          <t>PASS</t>
        </is>
      </c>
      <c r="V18" s="18" t="n">
        <v>59</v>
      </c>
      <c r="W18" s="18" t="inlineStr">
        <is>
          <t>PASS</t>
        </is>
      </c>
      <c r="X18" s="18" t="inlineStr">
        <is>
          <t>Failed in 1 subject(s)</t>
        </is>
      </c>
      <c r="Y18" s="18" t="inlineStr">
        <is>
          <t>18.00, 112.50</t>
        </is>
      </c>
    </row>
    <row r="19">
      <c r="A19" s="17" t="n">
        <v>6</v>
      </c>
      <c r="B19" s="19" t="n">
        <v>23021341293008</v>
      </c>
      <c r="C19" s="20" t="inlineStr">
        <is>
          <t>Katare Anushka Gajanan</t>
        </is>
      </c>
      <c r="D19" s="18" t="n">
        <v>65</v>
      </c>
      <c r="E19" s="18" t="inlineStr">
        <is>
          <t>PASS</t>
        </is>
      </c>
      <c r="F19" s="18" t="n">
        <v>41</v>
      </c>
      <c r="G19" s="21" t="inlineStr">
        <is>
          <t>FAIL</t>
        </is>
      </c>
      <c r="H19" s="18" t="n">
        <v>55</v>
      </c>
      <c r="I19" s="18" t="inlineStr">
        <is>
          <t>PASS</t>
        </is>
      </c>
      <c r="J19" s="18" t="n">
        <v>61</v>
      </c>
      <c r="K19" s="18" t="inlineStr">
        <is>
          <t>PASS</t>
        </is>
      </c>
      <c r="L19" s="18" t="n">
        <v>37</v>
      </c>
      <c r="M19" s="18" t="inlineStr">
        <is>
          <t>PASS</t>
        </is>
      </c>
      <c r="N19" s="18" t="n">
        <v>39</v>
      </c>
      <c r="O19" s="18" t="inlineStr">
        <is>
          <t>PASS</t>
        </is>
      </c>
      <c r="P19" s="18" t="n">
        <v>43</v>
      </c>
      <c r="Q19" s="18" t="inlineStr">
        <is>
          <t>PASS</t>
        </is>
      </c>
      <c r="R19" s="18" t="n">
        <v>45</v>
      </c>
      <c r="S19" s="18" t="inlineStr">
        <is>
          <t>PASS</t>
        </is>
      </c>
      <c r="T19" s="18" t="n">
        <v>72</v>
      </c>
      <c r="U19" s="18" t="inlineStr">
        <is>
          <t>PASS</t>
        </is>
      </c>
      <c r="V19" s="18" t="n">
        <v>68</v>
      </c>
      <c r="W19" s="18" t="inlineStr">
        <is>
          <t>PASS</t>
        </is>
      </c>
      <c r="X19" s="18" t="inlineStr">
        <is>
          <t>Failed in 1 subject(s)</t>
        </is>
      </c>
      <c r="Y19" s="18" t="inlineStr">
        <is>
          <t>18.00, 123.50</t>
        </is>
      </c>
    </row>
    <row r="20">
      <c r="A20" s="17" t="n">
        <v>7</v>
      </c>
      <c r="B20" s="19" t="n">
        <v>23021341293009</v>
      </c>
      <c r="C20" s="20" t="inlineStr">
        <is>
          <t>Chavan Swati Sanjay</t>
        </is>
      </c>
      <c r="D20" s="18" t="n">
        <v>41</v>
      </c>
      <c r="E20" s="21" t="inlineStr">
        <is>
          <t>FAIL</t>
        </is>
      </c>
      <c r="F20" s="18" t="n">
        <v>34</v>
      </c>
      <c r="G20" s="21" t="inlineStr">
        <is>
          <t>FAIL</t>
        </is>
      </c>
      <c r="H20" s="18" t="n">
        <v>42</v>
      </c>
      <c r="I20" s="18" t="inlineStr">
        <is>
          <t>PASS</t>
        </is>
      </c>
      <c r="J20" s="18" t="n">
        <v>37</v>
      </c>
      <c r="K20" s="21" t="inlineStr">
        <is>
          <t>FAIL</t>
        </is>
      </c>
      <c r="L20" s="18" t="n">
        <v>36</v>
      </c>
      <c r="M20" s="18" t="inlineStr">
        <is>
          <t>PASS</t>
        </is>
      </c>
      <c r="N20" s="18" t="n">
        <v>37</v>
      </c>
      <c r="O20" s="18" t="inlineStr">
        <is>
          <t>PASS</t>
        </is>
      </c>
      <c r="P20" s="18" t="n">
        <v>38</v>
      </c>
      <c r="Q20" s="18" t="inlineStr">
        <is>
          <t>PASS</t>
        </is>
      </c>
      <c r="R20" s="18" t="n">
        <v>42</v>
      </c>
      <c r="S20" s="18" t="inlineStr">
        <is>
          <t>PASS</t>
        </is>
      </c>
      <c r="T20" s="18" t="n">
        <v>52</v>
      </c>
      <c r="U20" s="18" t="inlineStr">
        <is>
          <t>PASS</t>
        </is>
      </c>
      <c r="V20" s="18" t="n">
        <v>57</v>
      </c>
      <c r="W20" s="18" t="inlineStr">
        <is>
          <t>PASS</t>
        </is>
      </c>
      <c r="X20" s="18" t="inlineStr">
        <is>
          <t>Failed in 3 subject(s)</t>
        </is>
      </c>
      <c r="Y20" s="18" t="inlineStr">
        <is>
          <t>11.00, 68.00</t>
        </is>
      </c>
    </row>
    <row r="21">
      <c r="A21" s="17" t="n">
        <v>8</v>
      </c>
      <c r="B21" s="19" t="n">
        <v>23021341293012</v>
      </c>
      <c r="C21" s="20" t="inlineStr">
        <is>
          <t>Wankhede Vaibhav Manohar</t>
        </is>
      </c>
      <c r="D21" s="18" t="n">
        <v>74</v>
      </c>
      <c r="E21" s="18" t="inlineStr">
        <is>
          <t>PASS</t>
        </is>
      </c>
      <c r="F21" s="18" t="n">
        <v>32</v>
      </c>
      <c r="G21" s="21" t="inlineStr">
        <is>
          <t>FAIL</t>
        </is>
      </c>
      <c r="H21" s="18" t="n">
        <v>50</v>
      </c>
      <c r="I21" s="18" t="inlineStr">
        <is>
          <t>PASS</t>
        </is>
      </c>
      <c r="J21" s="18" t="n">
        <v>36</v>
      </c>
      <c r="K21" s="21" t="inlineStr">
        <is>
          <t>FAIL</t>
        </is>
      </c>
      <c r="L21" s="18" t="n">
        <v>37</v>
      </c>
      <c r="M21" s="18" t="inlineStr">
        <is>
          <t>PASS</t>
        </is>
      </c>
      <c r="N21" s="18" t="n">
        <v>38</v>
      </c>
      <c r="O21" s="18" t="inlineStr">
        <is>
          <t>PASS</t>
        </is>
      </c>
      <c r="P21" s="18" t="n">
        <v>37</v>
      </c>
      <c r="Q21" s="18" t="inlineStr">
        <is>
          <t>PASS</t>
        </is>
      </c>
      <c r="R21" s="18" t="n">
        <v>38</v>
      </c>
      <c r="S21" s="18" t="inlineStr">
        <is>
          <t>PASS</t>
        </is>
      </c>
      <c r="T21" s="18" t="n">
        <v>56</v>
      </c>
      <c r="U21" s="18" t="inlineStr">
        <is>
          <t>PASS</t>
        </is>
      </c>
      <c r="V21" s="18" t="n">
        <v>47</v>
      </c>
      <c r="W21" s="18" t="inlineStr">
        <is>
          <t>PASS</t>
        </is>
      </c>
      <c r="X21" s="18" t="inlineStr">
        <is>
          <t>Failed in 2 subject(s)</t>
        </is>
      </c>
      <c r="Y21" s="18" t="inlineStr">
        <is>
          <t>14.00, 91.50</t>
        </is>
      </c>
    </row>
    <row r="22">
      <c r="A22" s="17" t="n">
        <v>9</v>
      </c>
      <c r="B22" s="19" t="n">
        <v>23021341293013</v>
      </c>
      <c r="C22" s="20" t="inlineStr">
        <is>
          <t>Khillare Mahendra Vijay</t>
        </is>
      </c>
      <c r="D22" s="18" t="n">
        <v>33</v>
      </c>
      <c r="E22" s="21" t="inlineStr">
        <is>
          <t>FAIL</t>
        </is>
      </c>
      <c r="F22" s="18" t="n">
        <v>26</v>
      </c>
      <c r="G22" s="21" t="inlineStr">
        <is>
          <t>FAIL</t>
        </is>
      </c>
      <c r="H22" s="18" t="n">
        <v>50</v>
      </c>
      <c r="I22" s="18" t="inlineStr">
        <is>
          <t>PASS</t>
        </is>
      </c>
      <c r="J22" s="18" t="n">
        <v>33</v>
      </c>
      <c r="K22" s="21" t="inlineStr">
        <is>
          <t>FAIL</t>
        </is>
      </c>
      <c r="L22" s="18" t="n">
        <v>27</v>
      </c>
      <c r="M22" s="18" t="inlineStr">
        <is>
          <t>PASS</t>
        </is>
      </c>
      <c r="N22" s="18" t="n">
        <v>34</v>
      </c>
      <c r="O22" s="18" t="inlineStr">
        <is>
          <t>PASS</t>
        </is>
      </c>
      <c r="P22" s="18" t="n">
        <v>29</v>
      </c>
      <c r="Q22" s="18" t="inlineStr">
        <is>
          <t>PASS</t>
        </is>
      </c>
      <c r="R22" s="18" t="n">
        <v>30</v>
      </c>
      <c r="S22" s="18" t="inlineStr">
        <is>
          <t>PASS</t>
        </is>
      </c>
      <c r="T22" s="18" t="n">
        <v>62</v>
      </c>
      <c r="U22" s="18" t="inlineStr">
        <is>
          <t>PASS</t>
        </is>
      </c>
      <c r="V22" s="18" t="n">
        <v>70</v>
      </c>
      <c r="W22" s="18" t="inlineStr">
        <is>
          <t>PASS</t>
        </is>
      </c>
      <c r="X22" s="18" t="inlineStr">
        <is>
          <t>Failed in 3 subject(s)</t>
        </is>
      </c>
      <c r="Y22" s="18" t="inlineStr">
        <is>
          <t>11.00, 64.00</t>
        </is>
      </c>
    </row>
    <row r="23">
      <c r="A23" s="17" t="n">
        <v>10</v>
      </c>
      <c r="B23" s="19" t="n">
        <v>23021341293014</v>
      </c>
      <c r="C23" s="20" t="inlineStr">
        <is>
          <t>Tayde Deepak Ashok</t>
        </is>
      </c>
      <c r="D23" s="18" t="n">
        <v>32</v>
      </c>
      <c r="E23" s="21" t="inlineStr">
        <is>
          <t>FAIL</t>
        </is>
      </c>
      <c r="F23" s="18" t="n">
        <v>33</v>
      </c>
      <c r="G23" s="21" t="inlineStr">
        <is>
          <t>FAIL</t>
        </is>
      </c>
      <c r="H23" s="18" t="n">
        <v>48</v>
      </c>
      <c r="I23" s="18" t="inlineStr">
        <is>
          <t>PASS</t>
        </is>
      </c>
      <c r="J23" s="18" t="n">
        <v>32</v>
      </c>
      <c r="K23" s="21" t="inlineStr">
        <is>
          <t>FAIL</t>
        </is>
      </c>
      <c r="L23" s="18" t="n">
        <v>38</v>
      </c>
      <c r="M23" s="18" t="inlineStr">
        <is>
          <t>PASS</t>
        </is>
      </c>
      <c r="N23" s="18" t="n">
        <v>36</v>
      </c>
      <c r="O23" s="18" t="inlineStr">
        <is>
          <t>PASS</t>
        </is>
      </c>
      <c r="P23" s="18" t="n">
        <v>36</v>
      </c>
      <c r="Q23" s="18" t="inlineStr">
        <is>
          <t>PASS</t>
        </is>
      </c>
      <c r="R23" s="18" t="n">
        <v>31</v>
      </c>
      <c r="S23" s="18" t="inlineStr">
        <is>
          <t>PASS</t>
        </is>
      </c>
      <c r="T23" s="18" t="n">
        <v>34</v>
      </c>
      <c r="U23" s="22" t="inlineStr">
        <is>
          <t>AB</t>
        </is>
      </c>
      <c r="V23" s="18" t="n">
        <v>60</v>
      </c>
      <c r="W23" s="18" t="inlineStr">
        <is>
          <t>PASS</t>
        </is>
      </c>
      <c r="X23" s="18" t="inlineStr">
        <is>
          <t>Failed in 4 subject(s)</t>
        </is>
      </c>
      <c r="Y23" s="18" t="inlineStr">
        <is>
          <t>8.00, 49.50</t>
        </is>
      </c>
    </row>
    <row r="24">
      <c r="A24" s="17" t="n">
        <v>11</v>
      </c>
      <c r="B24" s="19" t="n">
        <v>23021341293015</v>
      </c>
      <c r="C24" s="20" t="inlineStr">
        <is>
          <t>Bedwal Kartik Rameshwar</t>
        </is>
      </c>
      <c r="D24" s="18" t="n">
        <v>51</v>
      </c>
      <c r="E24" s="18" t="inlineStr">
        <is>
          <t>PASS</t>
        </is>
      </c>
      <c r="F24" s="18" t="n">
        <v>50</v>
      </c>
      <c r="G24" s="18" t="inlineStr">
        <is>
          <t>PASS</t>
        </is>
      </c>
      <c r="H24" s="18" t="n">
        <v>50</v>
      </c>
      <c r="I24" s="18" t="inlineStr">
        <is>
          <t>PASS</t>
        </is>
      </c>
      <c r="J24" s="18" t="n">
        <v>57</v>
      </c>
      <c r="K24" s="18" t="inlineStr">
        <is>
          <t>PASS</t>
        </is>
      </c>
      <c r="L24" s="18" t="n">
        <v>37</v>
      </c>
      <c r="M24" s="18" t="inlineStr">
        <is>
          <t>PASS</t>
        </is>
      </c>
      <c r="N24" s="18" t="n">
        <v>37</v>
      </c>
      <c r="O24" s="18" t="inlineStr">
        <is>
          <t>PASS</t>
        </is>
      </c>
      <c r="P24" s="18" t="n">
        <v>34</v>
      </c>
      <c r="Q24" s="18" t="inlineStr">
        <is>
          <t>PASS</t>
        </is>
      </c>
      <c r="R24" s="18" t="n">
        <v>32</v>
      </c>
      <c r="S24" s="18" t="inlineStr">
        <is>
          <t>PASS</t>
        </is>
      </c>
      <c r="T24" s="18" t="n">
        <v>74</v>
      </c>
      <c r="U24" s="18" t="inlineStr">
        <is>
          <t>PASS</t>
        </is>
      </c>
      <c r="V24" s="18" t="n">
        <v>62</v>
      </c>
      <c r="W24" s="18" t="inlineStr">
        <is>
          <t>PASS</t>
        </is>
      </c>
      <c r="X24" s="18" t="inlineStr">
        <is>
          <t>All Clear</t>
        </is>
      </c>
      <c r="Y24" s="18" t="inlineStr">
        <is>
          <t>22.00, 131.50</t>
        </is>
      </c>
    </row>
    <row r="25">
      <c r="A25" s="17" t="n">
        <v>12</v>
      </c>
      <c r="B25" s="19" t="n">
        <v>23021341293016</v>
      </c>
      <c r="C25" s="20" t="inlineStr">
        <is>
          <t>Pise Madhav Vitthal</t>
        </is>
      </c>
      <c r="D25" s="18" t="n">
        <v>35</v>
      </c>
      <c r="E25" s="21" t="inlineStr">
        <is>
          <t>FAIL</t>
        </is>
      </c>
      <c r="F25" s="18" t="n">
        <v>36</v>
      </c>
      <c r="G25" s="21" t="inlineStr">
        <is>
          <t>FAIL</t>
        </is>
      </c>
      <c r="H25" s="18" t="n">
        <v>45</v>
      </c>
      <c r="I25" s="18" t="inlineStr">
        <is>
          <t>PASS</t>
        </is>
      </c>
      <c r="J25" s="18" t="n">
        <v>45</v>
      </c>
      <c r="K25" s="21" t="inlineStr">
        <is>
          <t>FAIL</t>
        </is>
      </c>
      <c r="L25" s="18" t="n">
        <v>39</v>
      </c>
      <c r="M25" s="18" t="inlineStr">
        <is>
          <t>PASS</t>
        </is>
      </c>
      <c r="N25" s="18" t="n">
        <v>37</v>
      </c>
      <c r="O25" s="18" t="inlineStr">
        <is>
          <t>PASS</t>
        </is>
      </c>
      <c r="P25" s="18" t="n">
        <v>38</v>
      </c>
      <c r="Q25" s="18" t="inlineStr">
        <is>
          <t>PASS</t>
        </is>
      </c>
      <c r="R25" s="18" t="n">
        <v>38</v>
      </c>
      <c r="S25" s="18" t="inlineStr">
        <is>
          <t>PASS</t>
        </is>
      </c>
      <c r="T25" s="18" t="n">
        <v>64</v>
      </c>
      <c r="U25" s="18" t="inlineStr">
        <is>
          <t>PASS</t>
        </is>
      </c>
      <c r="V25" s="18" t="n">
        <v>65</v>
      </c>
      <c r="W25" s="18" t="inlineStr">
        <is>
          <t>PASS</t>
        </is>
      </c>
      <c r="X25" s="18" t="inlineStr">
        <is>
          <t>Failed in 3 subject(s)</t>
        </is>
      </c>
      <c r="Y25" s="18" t="inlineStr">
        <is>
          <t>11.00, 71.00</t>
        </is>
      </c>
    </row>
    <row r="26">
      <c r="A26" s="17" t="n">
        <v>13</v>
      </c>
      <c r="B26" s="19" t="n">
        <v>23021341293019</v>
      </c>
      <c r="C26" s="20" t="inlineStr">
        <is>
          <t>Pradhan Tejas Chandrakant</t>
        </is>
      </c>
      <c r="D26" s="18" t="n">
        <v>66</v>
      </c>
      <c r="E26" s="18" t="inlineStr">
        <is>
          <t>PASS</t>
        </is>
      </c>
      <c r="F26" s="18" t="n">
        <v>28</v>
      </c>
      <c r="G26" s="21" t="inlineStr">
        <is>
          <t>FAIL</t>
        </is>
      </c>
      <c r="H26" s="18" t="n">
        <v>53</v>
      </c>
      <c r="I26" s="18" t="inlineStr">
        <is>
          <t>PASS</t>
        </is>
      </c>
      <c r="J26" s="18" t="n">
        <v>46</v>
      </c>
      <c r="K26" s="18" t="inlineStr">
        <is>
          <t>PASS</t>
        </is>
      </c>
      <c r="L26" s="18" t="n">
        <v>38</v>
      </c>
      <c r="M26" s="18" t="inlineStr">
        <is>
          <t>PASS</t>
        </is>
      </c>
      <c r="N26" s="18" t="n">
        <v>38</v>
      </c>
      <c r="O26" s="18" t="inlineStr">
        <is>
          <t>PASS</t>
        </is>
      </c>
      <c r="P26" s="18" t="n">
        <v>37</v>
      </c>
      <c r="Q26" s="18" t="inlineStr">
        <is>
          <t>PASS</t>
        </is>
      </c>
      <c r="R26" s="18" t="n">
        <v>37</v>
      </c>
      <c r="S26" s="18" t="inlineStr">
        <is>
          <t>PASS</t>
        </is>
      </c>
      <c r="T26" s="18" t="n">
        <v>61</v>
      </c>
      <c r="U26" s="18" t="inlineStr">
        <is>
          <t>PASS</t>
        </is>
      </c>
      <c r="V26" s="18" t="n">
        <v>74</v>
      </c>
      <c r="W26" s="18" t="inlineStr">
        <is>
          <t>PASS</t>
        </is>
      </c>
      <c r="X26" s="18" t="inlineStr">
        <is>
          <t>Failed in 1 subject(s)</t>
        </is>
      </c>
      <c r="Y26" s="18" t="inlineStr">
        <is>
          <t>18.00, 113.50</t>
        </is>
      </c>
    </row>
    <row r="27">
      <c r="A27" s="17" t="n">
        <v>14</v>
      </c>
      <c r="B27" s="19" t="n">
        <v>23021341293020</v>
      </c>
      <c r="C27" s="20" t="inlineStr">
        <is>
          <t>Malode Kajal Subhash</t>
        </is>
      </c>
      <c r="D27" s="18" t="n">
        <v>65</v>
      </c>
      <c r="E27" s="18" t="inlineStr">
        <is>
          <t>PASS</t>
        </is>
      </c>
      <c r="F27" s="18" t="n">
        <v>62</v>
      </c>
      <c r="G27" s="18" t="inlineStr">
        <is>
          <t>PASS</t>
        </is>
      </c>
      <c r="H27" s="18" t="n">
        <v>52</v>
      </c>
      <c r="I27" s="18" t="inlineStr">
        <is>
          <t>PASS</t>
        </is>
      </c>
      <c r="J27" s="18" t="n">
        <v>71</v>
      </c>
      <c r="K27" s="18" t="inlineStr">
        <is>
          <t>PASS</t>
        </is>
      </c>
      <c r="L27" s="18" t="n">
        <v>35</v>
      </c>
      <c r="M27" s="18" t="inlineStr">
        <is>
          <t>PASS</t>
        </is>
      </c>
      <c r="N27" s="18" t="n">
        <v>38</v>
      </c>
      <c r="O27" s="18" t="inlineStr">
        <is>
          <t>PASS</t>
        </is>
      </c>
      <c r="P27" s="18" t="n">
        <v>44</v>
      </c>
      <c r="Q27" s="18" t="inlineStr">
        <is>
          <t>PASS</t>
        </is>
      </c>
      <c r="R27" s="18" t="n">
        <v>45</v>
      </c>
      <c r="S27" s="18" t="inlineStr">
        <is>
          <t>PASS</t>
        </is>
      </c>
      <c r="T27" s="18" t="n">
        <v>71</v>
      </c>
      <c r="U27" s="18" t="inlineStr">
        <is>
          <t>PASS</t>
        </is>
      </c>
      <c r="V27" s="18" t="n">
        <v>61</v>
      </c>
      <c r="W27" s="18" t="inlineStr">
        <is>
          <t>PASS</t>
        </is>
      </c>
      <c r="X27" s="18" t="inlineStr">
        <is>
          <t>All Clear</t>
        </is>
      </c>
      <c r="Y27" s="18" t="inlineStr">
        <is>
          <t>22.00, 153.00</t>
        </is>
      </c>
    </row>
    <row r="28">
      <c r="A28" s="17" t="n">
        <v>15</v>
      </c>
      <c r="B28" s="19" t="n">
        <v>23021341293021</v>
      </c>
      <c r="C28" s="20" t="inlineStr">
        <is>
          <t>Dongre Balraj Sharad</t>
        </is>
      </c>
      <c r="D28" s="18" t="n">
        <v>33</v>
      </c>
      <c r="E28" s="21" t="inlineStr">
        <is>
          <t>FAIL</t>
        </is>
      </c>
      <c r="F28" s="18" t="n">
        <v>24</v>
      </c>
      <c r="G28" s="21" t="inlineStr">
        <is>
          <t>FAIL</t>
        </is>
      </c>
      <c r="H28" s="18" t="n">
        <v>48</v>
      </c>
      <c r="I28" s="18" t="inlineStr">
        <is>
          <t>PASS</t>
        </is>
      </c>
      <c r="J28" s="18" t="n">
        <v>34</v>
      </c>
      <c r="K28" s="21" t="inlineStr">
        <is>
          <t>FAIL</t>
        </is>
      </c>
      <c r="L28" s="18" t="n">
        <v>36</v>
      </c>
      <c r="M28" s="18" t="inlineStr">
        <is>
          <t>PASS</t>
        </is>
      </c>
      <c r="N28" s="18" t="n">
        <v>32</v>
      </c>
      <c r="O28" s="18" t="inlineStr">
        <is>
          <t>PASS</t>
        </is>
      </c>
      <c r="P28" s="18" t="n">
        <v>35</v>
      </c>
      <c r="Q28" s="18" t="inlineStr">
        <is>
          <t>PASS</t>
        </is>
      </c>
      <c r="R28" s="18" t="n">
        <v>26</v>
      </c>
      <c r="S28" s="18" t="inlineStr">
        <is>
          <t>PASS</t>
        </is>
      </c>
      <c r="T28" s="18" t="n">
        <v>46</v>
      </c>
      <c r="U28" s="21" t="inlineStr">
        <is>
          <t>FAIL</t>
        </is>
      </c>
      <c r="V28" s="18" t="n">
        <v>38</v>
      </c>
      <c r="W28" s="18" t="inlineStr">
        <is>
          <t>PASS</t>
        </is>
      </c>
      <c r="X28" s="18" t="inlineStr">
        <is>
          <t>Failed in 4 subject(s)</t>
        </is>
      </c>
      <c r="Y28" s="18" t="inlineStr">
        <is>
          <t>8.00, 46.50</t>
        </is>
      </c>
    </row>
    <row r="29">
      <c r="A29" s="17" t="n">
        <v>16</v>
      </c>
      <c r="B29" s="19" t="n">
        <v>23021341293023</v>
      </c>
      <c r="C29" s="20" t="inlineStr">
        <is>
          <t>Pardeshi Pritamsing Jaising</t>
        </is>
      </c>
      <c r="D29" s="18" t="n">
        <v>60</v>
      </c>
      <c r="E29" s="18" t="inlineStr">
        <is>
          <t>PASS</t>
        </is>
      </c>
      <c r="F29" s="18" t="n">
        <v>26</v>
      </c>
      <c r="G29" s="21" t="inlineStr">
        <is>
          <t>FAIL</t>
        </is>
      </c>
      <c r="H29" s="18" t="n">
        <v>49</v>
      </c>
      <c r="I29" s="18" t="inlineStr">
        <is>
          <t>PASS</t>
        </is>
      </c>
      <c r="J29" s="18" t="n">
        <v>36</v>
      </c>
      <c r="K29" s="21" t="inlineStr">
        <is>
          <t>FAIL</t>
        </is>
      </c>
      <c r="L29" s="18" t="n">
        <v>36</v>
      </c>
      <c r="M29" s="18" t="inlineStr">
        <is>
          <t>PASS</t>
        </is>
      </c>
      <c r="N29" s="18" t="n">
        <v>34</v>
      </c>
      <c r="O29" s="18" t="inlineStr">
        <is>
          <t>PASS</t>
        </is>
      </c>
      <c r="P29" s="18" t="n">
        <v>15</v>
      </c>
      <c r="Q29" s="22" t="inlineStr">
        <is>
          <t>AB</t>
        </is>
      </c>
      <c r="R29" s="18" t="n">
        <v>31</v>
      </c>
      <c r="S29" s="18" t="inlineStr">
        <is>
          <t>PASS</t>
        </is>
      </c>
      <c r="T29" s="18" t="n">
        <v>51</v>
      </c>
      <c r="U29" s="18" t="inlineStr">
        <is>
          <t>PASS</t>
        </is>
      </c>
      <c r="V29" s="18" t="n">
        <v>52</v>
      </c>
      <c r="W29" s="18" t="inlineStr">
        <is>
          <t>PASS</t>
        </is>
      </c>
      <c r="X29" s="18" t="inlineStr">
        <is>
          <t>Failed in 3 subject(s)</t>
        </is>
      </c>
      <c r="Y29" s="18" t="inlineStr">
        <is>
          <t>13.00, 75.50</t>
        </is>
      </c>
    </row>
    <row r="30">
      <c r="A30" s="17" t="n">
        <v>17</v>
      </c>
      <c r="B30" s="19" t="n">
        <v>23021341293024</v>
      </c>
      <c r="C30" s="20" t="inlineStr">
        <is>
          <t>Bombale Rushikesh Suresh</t>
        </is>
      </c>
      <c r="D30" s="18" t="n">
        <v>60</v>
      </c>
      <c r="E30" s="18" t="inlineStr">
        <is>
          <t>PASS</t>
        </is>
      </c>
      <c r="F30" s="18" t="n">
        <v>47</v>
      </c>
      <c r="G30" s="21" t="inlineStr">
        <is>
          <t>FAIL</t>
        </is>
      </c>
      <c r="H30" s="18" t="n">
        <v>63</v>
      </c>
      <c r="I30" s="18" t="inlineStr">
        <is>
          <t>PASS</t>
        </is>
      </c>
      <c r="J30" s="18" t="n">
        <v>55</v>
      </c>
      <c r="K30" s="18" t="inlineStr">
        <is>
          <t>PASS</t>
        </is>
      </c>
      <c r="L30" s="18" t="n">
        <v>37</v>
      </c>
      <c r="M30" s="18" t="inlineStr">
        <is>
          <t>PASS</t>
        </is>
      </c>
      <c r="N30" s="18" t="n">
        <v>38</v>
      </c>
      <c r="O30" s="18" t="inlineStr">
        <is>
          <t>PASS</t>
        </is>
      </c>
      <c r="P30" s="18" t="n">
        <v>41</v>
      </c>
      <c r="Q30" s="18" t="inlineStr">
        <is>
          <t>PASS</t>
        </is>
      </c>
      <c r="R30" s="18" t="n">
        <v>41</v>
      </c>
      <c r="S30" s="18" t="inlineStr">
        <is>
          <t>PASS</t>
        </is>
      </c>
      <c r="T30" s="18" t="n">
        <v>72</v>
      </c>
      <c r="U30" s="18" t="inlineStr">
        <is>
          <t>PASS</t>
        </is>
      </c>
      <c r="V30" s="18" t="n">
        <v>80</v>
      </c>
      <c r="W30" s="18" t="inlineStr">
        <is>
          <t>PASS</t>
        </is>
      </c>
      <c r="X30" s="18" t="inlineStr">
        <is>
          <t>Failed in 1 subject(s)</t>
        </is>
      </c>
      <c r="Y30" s="18" t="inlineStr">
        <is>
          <t>18.00, 121.00</t>
        </is>
      </c>
    </row>
    <row r="31">
      <c r="A31" s="17" t="n">
        <v>18</v>
      </c>
      <c r="B31" s="19" t="n">
        <v>23021341293025</v>
      </c>
      <c r="C31" s="20" t="inlineStr">
        <is>
          <t>More Tushar Vishwanath</t>
        </is>
      </c>
      <c r="D31" s="18" t="n">
        <v>26</v>
      </c>
      <c r="E31" s="21" t="inlineStr">
        <is>
          <t>FAIL</t>
        </is>
      </c>
      <c r="F31" s="18" t="n">
        <v>30</v>
      </c>
      <c r="G31" s="21" t="inlineStr">
        <is>
          <t>FAIL</t>
        </is>
      </c>
      <c r="H31" s="18" t="n">
        <v>30</v>
      </c>
      <c r="I31" s="21" t="inlineStr">
        <is>
          <t>FAIL</t>
        </is>
      </c>
      <c r="J31" s="18" t="n">
        <v>32</v>
      </c>
      <c r="K31" s="21" t="inlineStr">
        <is>
          <t>FAIL</t>
        </is>
      </c>
      <c r="L31" s="18" t="n">
        <v>37</v>
      </c>
      <c r="M31" s="18" t="inlineStr">
        <is>
          <t>PASS</t>
        </is>
      </c>
      <c r="N31" s="18" t="n">
        <v>34</v>
      </c>
      <c r="O31" s="18" t="inlineStr">
        <is>
          <t>PASS</t>
        </is>
      </c>
      <c r="P31" s="18" t="n">
        <v>35</v>
      </c>
      <c r="Q31" s="18" t="inlineStr">
        <is>
          <t>PASS</t>
        </is>
      </c>
      <c r="R31" s="18" t="n">
        <v>31</v>
      </c>
      <c r="S31" s="18" t="inlineStr">
        <is>
          <t>PASS</t>
        </is>
      </c>
      <c r="T31" s="18" t="n">
        <v>41</v>
      </c>
      <c r="U31" s="21" t="inlineStr">
        <is>
          <t>FAIL</t>
        </is>
      </c>
      <c r="V31" s="18" t="n">
        <v>62</v>
      </c>
      <c r="W31" s="18" t="inlineStr">
        <is>
          <t>PASS</t>
        </is>
      </c>
      <c r="X31" s="18" t="inlineStr">
        <is>
          <t>Failed in 5 subject(s)</t>
        </is>
      </c>
      <c r="Y31" s="18" t="inlineStr">
        <is>
          <t>4.00, 28.00</t>
        </is>
      </c>
    </row>
    <row r="32">
      <c r="A32" s="17" t="n">
        <v>19</v>
      </c>
      <c r="B32" s="19" t="n">
        <v>23021341293026</v>
      </c>
      <c r="C32" s="20" t="inlineStr">
        <is>
          <t>Kamble Shreya Ramdas</t>
        </is>
      </c>
      <c r="D32" s="18" t="n">
        <v>35</v>
      </c>
      <c r="E32" s="21" t="inlineStr">
        <is>
          <t>FAIL</t>
        </is>
      </c>
      <c r="F32" s="18" t="n">
        <v>29</v>
      </c>
      <c r="G32" s="21" t="inlineStr">
        <is>
          <t>FAIL</t>
        </is>
      </c>
      <c r="H32" s="18" t="n">
        <v>27</v>
      </c>
      <c r="I32" s="21" t="inlineStr">
        <is>
          <t>FAIL</t>
        </is>
      </c>
      <c r="J32" s="18" t="n">
        <v>48</v>
      </c>
      <c r="K32" s="18" t="inlineStr">
        <is>
          <t>PASS</t>
        </is>
      </c>
      <c r="L32" s="18" t="n">
        <v>36</v>
      </c>
      <c r="M32" s="18" t="inlineStr">
        <is>
          <t>PASS</t>
        </is>
      </c>
      <c r="N32" s="18" t="n">
        <v>39</v>
      </c>
      <c r="O32" s="18" t="inlineStr">
        <is>
          <t>PASS</t>
        </is>
      </c>
      <c r="P32" s="18" t="n">
        <v>36</v>
      </c>
      <c r="Q32" s="18" t="inlineStr">
        <is>
          <t>PASS</t>
        </is>
      </c>
      <c r="R32" s="18" t="n">
        <v>30</v>
      </c>
      <c r="S32" s="18" t="inlineStr">
        <is>
          <t>PASS</t>
        </is>
      </c>
      <c r="T32" s="18" t="n">
        <v>53</v>
      </c>
      <c r="U32" s="18" t="inlineStr">
        <is>
          <t>PASS</t>
        </is>
      </c>
      <c r="V32" s="18" t="n">
        <v>56</v>
      </c>
      <c r="W32" s="18" t="inlineStr">
        <is>
          <t>PASS</t>
        </is>
      </c>
      <c r="X32" s="18" t="inlineStr">
        <is>
          <t>Failed in 3 subject(s)</t>
        </is>
      </c>
      <c r="Y32" s="18" t="inlineStr">
        <is>
          <t>11.00, 65.50</t>
        </is>
      </c>
    </row>
    <row r="33">
      <c r="A33" s="17" t="n">
        <v>20</v>
      </c>
      <c r="B33" s="19" t="n">
        <v>23021341293028</v>
      </c>
      <c r="C33" s="20" t="inlineStr">
        <is>
          <t>Nalawade Ritesh Karbhari</t>
        </is>
      </c>
      <c r="D33" s="18" t="n">
        <v>42</v>
      </c>
      <c r="E33" s="21" t="inlineStr">
        <is>
          <t>FAIL</t>
        </is>
      </c>
      <c r="F33" s="18" t="n">
        <v>39</v>
      </c>
      <c r="G33" s="21" t="inlineStr">
        <is>
          <t>FAIL</t>
        </is>
      </c>
      <c r="H33" s="18" t="n">
        <v>62</v>
      </c>
      <c r="I33" s="18" t="inlineStr">
        <is>
          <t>PASS</t>
        </is>
      </c>
      <c r="J33" s="18" t="n">
        <v>40</v>
      </c>
      <c r="K33" s="21" t="inlineStr">
        <is>
          <t>FAIL</t>
        </is>
      </c>
      <c r="L33" s="18" t="n">
        <v>38</v>
      </c>
      <c r="M33" s="18" t="inlineStr">
        <is>
          <t>PASS</t>
        </is>
      </c>
      <c r="N33" s="18" t="n">
        <v>38</v>
      </c>
      <c r="O33" s="18" t="inlineStr">
        <is>
          <t>PASS</t>
        </is>
      </c>
      <c r="P33" s="18" t="n">
        <v>41</v>
      </c>
      <c r="Q33" s="18" t="inlineStr">
        <is>
          <t>PASS</t>
        </is>
      </c>
      <c r="R33" s="18" t="n">
        <v>34</v>
      </c>
      <c r="S33" s="18" t="inlineStr">
        <is>
          <t>PASS</t>
        </is>
      </c>
      <c r="T33" s="18" t="n">
        <v>65</v>
      </c>
      <c r="U33" s="18" t="inlineStr">
        <is>
          <t>PASS</t>
        </is>
      </c>
      <c r="V33" s="18" t="n">
        <v>68</v>
      </c>
      <c r="W33" s="18" t="inlineStr">
        <is>
          <t>PASS</t>
        </is>
      </c>
      <c r="X33" s="18" t="inlineStr">
        <is>
          <t>Failed in 3 subject(s)</t>
        </is>
      </c>
      <c r="Y33" s="18" t="inlineStr">
        <is>
          <t>11.00, 77.00</t>
        </is>
      </c>
    </row>
    <row r="34">
      <c r="A34" s="17" t="n">
        <v>21</v>
      </c>
      <c r="B34" s="19" t="n">
        <v>23021341293034</v>
      </c>
      <c r="C34" s="20" t="inlineStr">
        <is>
          <t>Sonawane Rohit Bharat</t>
        </is>
      </c>
      <c r="D34" s="18" t="n">
        <v>52</v>
      </c>
      <c r="E34" s="18" t="inlineStr">
        <is>
          <t>PASS</t>
        </is>
      </c>
      <c r="F34" s="18" t="n">
        <v>35</v>
      </c>
      <c r="G34" s="21" t="inlineStr">
        <is>
          <t>FAIL</t>
        </is>
      </c>
      <c r="H34" s="18" t="n">
        <v>57</v>
      </c>
      <c r="I34" s="18" t="inlineStr">
        <is>
          <t>PASS</t>
        </is>
      </c>
      <c r="J34" s="18" t="n">
        <v>49</v>
      </c>
      <c r="K34" s="18" t="inlineStr">
        <is>
          <t>PASS</t>
        </is>
      </c>
      <c r="L34" s="18" t="n">
        <v>32</v>
      </c>
      <c r="M34" s="18" t="inlineStr">
        <is>
          <t>PASS</t>
        </is>
      </c>
      <c r="N34" s="18" t="n">
        <v>37</v>
      </c>
      <c r="O34" s="18" t="inlineStr">
        <is>
          <t>PASS</t>
        </is>
      </c>
      <c r="P34" s="18" t="n">
        <v>34</v>
      </c>
      <c r="Q34" s="18" t="inlineStr">
        <is>
          <t>PASS</t>
        </is>
      </c>
      <c r="R34" s="18" t="n">
        <v>29</v>
      </c>
      <c r="S34" s="18" t="inlineStr">
        <is>
          <t>PASS</t>
        </is>
      </c>
      <c r="T34" s="18" t="n">
        <v>56</v>
      </c>
      <c r="U34" s="18" t="inlineStr">
        <is>
          <t>PASS</t>
        </is>
      </c>
      <c r="V34" s="18" t="n">
        <v>56</v>
      </c>
      <c r="W34" s="18" t="inlineStr">
        <is>
          <t>PASS</t>
        </is>
      </c>
      <c r="X34" s="18" t="inlineStr">
        <is>
          <t>Failed in 1 subject(s)</t>
        </is>
      </c>
      <c r="Y34" s="18" t="inlineStr">
        <is>
          <t>18.00, 105.50</t>
        </is>
      </c>
    </row>
    <row r="35">
      <c r="A35" s="17" t="n">
        <v>22</v>
      </c>
      <c r="B35" s="19" t="n">
        <v>23021341293038</v>
      </c>
      <c r="C35" s="20" t="inlineStr">
        <is>
          <t>Jadhav Rina Raosaheb</t>
        </is>
      </c>
      <c r="D35" s="18" t="n">
        <v>69</v>
      </c>
      <c r="E35" s="18" t="inlineStr">
        <is>
          <t>PASS</t>
        </is>
      </c>
      <c r="F35" s="18" t="n">
        <v>71</v>
      </c>
      <c r="G35" s="18" t="inlineStr">
        <is>
          <t>PASS</t>
        </is>
      </c>
      <c r="H35" s="18" t="n">
        <v>41</v>
      </c>
      <c r="I35" s="18" t="inlineStr">
        <is>
          <t>PASS</t>
        </is>
      </c>
      <c r="J35" s="18" t="n">
        <v>40</v>
      </c>
      <c r="K35" s="21" t="inlineStr">
        <is>
          <t>FAIL</t>
        </is>
      </c>
      <c r="L35" s="18" t="n">
        <v>33</v>
      </c>
      <c r="M35" s="18" t="inlineStr">
        <is>
          <t>PASS</t>
        </is>
      </c>
      <c r="N35" s="18" t="n">
        <v>40</v>
      </c>
      <c r="O35" s="18" t="inlineStr">
        <is>
          <t>PASS</t>
        </is>
      </c>
      <c r="P35" s="18" t="n">
        <v>41</v>
      </c>
      <c r="Q35" s="18" t="inlineStr">
        <is>
          <t>PASS</t>
        </is>
      </c>
      <c r="R35" s="18" t="n">
        <v>45</v>
      </c>
      <c r="S35" s="18" t="inlineStr">
        <is>
          <t>PASS</t>
        </is>
      </c>
      <c r="T35" s="18" t="n">
        <v>55</v>
      </c>
      <c r="U35" s="18" t="inlineStr">
        <is>
          <t>PASS</t>
        </is>
      </c>
      <c r="V35" s="18" t="n">
        <v>65</v>
      </c>
      <c r="W35" s="18" t="inlineStr">
        <is>
          <t>PASS</t>
        </is>
      </c>
      <c r="X35" s="18" t="inlineStr">
        <is>
          <t>Failed in 1 subject(s)</t>
        </is>
      </c>
      <c r="Y35" s="18" t="inlineStr">
        <is>
          <t>18.00, 120.00</t>
        </is>
      </c>
    </row>
    <row r="36">
      <c r="A36" s="17" t="n">
        <v>23</v>
      </c>
      <c r="B36" s="19" t="n">
        <v>23021341293040</v>
      </c>
      <c r="C36" s="20" t="inlineStr">
        <is>
          <t>Vakte Pradnya Atmaram</t>
        </is>
      </c>
      <c r="D36" s="18" t="n">
        <v>61</v>
      </c>
      <c r="E36" s="18" t="inlineStr">
        <is>
          <t>PASS</t>
        </is>
      </c>
      <c r="F36" s="18" t="n">
        <v>45</v>
      </c>
      <c r="G36" s="21" t="inlineStr">
        <is>
          <t>FAIL</t>
        </is>
      </c>
      <c r="H36" s="18" t="n">
        <v>63</v>
      </c>
      <c r="I36" s="18" t="inlineStr">
        <is>
          <t>PASS</t>
        </is>
      </c>
      <c r="J36" s="18" t="n">
        <v>72</v>
      </c>
      <c r="K36" s="18" t="inlineStr">
        <is>
          <t>PASS</t>
        </is>
      </c>
      <c r="L36" s="18" t="n">
        <v>35</v>
      </c>
      <c r="M36" s="18" t="inlineStr">
        <is>
          <t>PASS</t>
        </is>
      </c>
      <c r="N36" s="18" t="n">
        <v>42</v>
      </c>
      <c r="O36" s="18" t="inlineStr">
        <is>
          <t>PASS</t>
        </is>
      </c>
      <c r="P36" s="18" t="n">
        <v>45</v>
      </c>
      <c r="Q36" s="18" t="inlineStr">
        <is>
          <t>PASS</t>
        </is>
      </c>
      <c r="R36" s="18" t="n">
        <v>44</v>
      </c>
      <c r="S36" s="18" t="inlineStr">
        <is>
          <t>PASS</t>
        </is>
      </c>
      <c r="T36" s="18" t="n">
        <v>73</v>
      </c>
      <c r="U36" s="18" t="inlineStr">
        <is>
          <t>PASS</t>
        </is>
      </c>
      <c r="V36" s="18" t="n">
        <v>70</v>
      </c>
      <c r="W36" s="18" t="inlineStr">
        <is>
          <t>PASS</t>
        </is>
      </c>
      <c r="X36" s="18" t="inlineStr">
        <is>
          <t>Failed in 1 subject(s)</t>
        </is>
      </c>
      <c r="Y36" s="18" t="inlineStr">
        <is>
          <t>18.00, 131.50</t>
        </is>
      </c>
    </row>
    <row r="37">
      <c r="A37" s="17" t="n">
        <v>24</v>
      </c>
      <c r="B37" s="19" t="n">
        <v>23021341293041</v>
      </c>
      <c r="C37" s="20" t="inlineStr">
        <is>
          <t>Patil Priyanka Milind</t>
        </is>
      </c>
      <c r="D37" s="18" t="n">
        <v>61</v>
      </c>
      <c r="E37" s="18" t="inlineStr">
        <is>
          <t>PASS</t>
        </is>
      </c>
      <c r="F37" s="18" t="n">
        <v>35</v>
      </c>
      <c r="G37" s="21" t="inlineStr">
        <is>
          <t>FAIL</t>
        </is>
      </c>
      <c r="H37" s="18" t="n">
        <v>47</v>
      </c>
      <c r="I37" s="18" t="inlineStr">
        <is>
          <t>PASS</t>
        </is>
      </c>
      <c r="J37" s="18" t="n">
        <v>33</v>
      </c>
      <c r="K37" s="21" t="inlineStr">
        <is>
          <t>FAIL</t>
        </is>
      </c>
      <c r="L37" s="18" t="n">
        <v>33</v>
      </c>
      <c r="M37" s="18" t="inlineStr">
        <is>
          <t>PASS</t>
        </is>
      </c>
      <c r="N37" s="18" t="n">
        <v>36</v>
      </c>
      <c r="O37" s="18" t="inlineStr">
        <is>
          <t>PASS</t>
        </is>
      </c>
      <c r="P37" s="18" t="n">
        <v>36</v>
      </c>
      <c r="Q37" s="18" t="inlineStr">
        <is>
          <t>PASS</t>
        </is>
      </c>
      <c r="R37" s="18" t="n">
        <v>28</v>
      </c>
      <c r="S37" s="18" t="inlineStr">
        <is>
          <t>PASS</t>
        </is>
      </c>
      <c r="T37" s="18" t="n">
        <v>58</v>
      </c>
      <c r="U37" s="18" t="inlineStr">
        <is>
          <t>PASS</t>
        </is>
      </c>
      <c r="V37" s="18" t="n">
        <v>59</v>
      </c>
      <c r="W37" s="18" t="inlineStr">
        <is>
          <t>PASS</t>
        </is>
      </c>
      <c r="X37" s="18" t="inlineStr">
        <is>
          <t>Failed in 2 subject(s)</t>
        </is>
      </c>
      <c r="Y37" s="18" t="inlineStr">
        <is>
          <t>14.00, 85.50</t>
        </is>
      </c>
    </row>
    <row r="38">
      <c r="A38" s="17" t="n">
        <v>25</v>
      </c>
      <c r="B38" s="19" t="n">
        <v>23021341293043</v>
      </c>
      <c r="C38" s="20" t="inlineStr">
        <is>
          <t>Farande Aditya Sahadev</t>
        </is>
      </c>
      <c r="D38" s="18" t="n">
        <v>38</v>
      </c>
      <c r="E38" s="21" t="inlineStr">
        <is>
          <t>FAIL</t>
        </is>
      </c>
      <c r="F38" s="18" t="n">
        <v>29</v>
      </c>
      <c r="G38" s="21" t="inlineStr">
        <is>
          <t>FAIL</t>
        </is>
      </c>
      <c r="H38" s="18" t="n">
        <v>56</v>
      </c>
      <c r="I38" s="18" t="inlineStr">
        <is>
          <t>PASS</t>
        </is>
      </c>
      <c r="J38" s="18" t="n">
        <v>51</v>
      </c>
      <c r="K38" s="18" t="inlineStr">
        <is>
          <t>PASS</t>
        </is>
      </c>
      <c r="L38" s="18" t="n">
        <v>35</v>
      </c>
      <c r="M38" s="18" t="inlineStr">
        <is>
          <t>PASS</t>
        </is>
      </c>
      <c r="N38" s="18" t="n">
        <v>36</v>
      </c>
      <c r="O38" s="18" t="inlineStr">
        <is>
          <t>PASS</t>
        </is>
      </c>
      <c r="P38" s="18" t="n">
        <v>39</v>
      </c>
      <c r="Q38" s="18" t="inlineStr">
        <is>
          <t>PASS</t>
        </is>
      </c>
      <c r="R38" s="18" t="n">
        <v>31</v>
      </c>
      <c r="S38" s="18" t="inlineStr">
        <is>
          <t>PASS</t>
        </is>
      </c>
      <c r="T38" s="18" t="n">
        <v>72</v>
      </c>
      <c r="U38" s="18" t="inlineStr">
        <is>
          <t>PASS</t>
        </is>
      </c>
      <c r="V38" s="18" t="n">
        <v>62</v>
      </c>
      <c r="W38" s="18" t="inlineStr">
        <is>
          <t>PASS</t>
        </is>
      </c>
      <c r="X38" s="18" t="inlineStr">
        <is>
          <t>Failed in 2 subject(s)</t>
        </is>
      </c>
      <c r="Y38" s="18" t="inlineStr">
        <is>
          <t>15.00, 97.50</t>
        </is>
      </c>
    </row>
    <row r="39">
      <c r="A39" s="17" t="n">
        <v>26</v>
      </c>
      <c r="B39" s="19" t="n">
        <v>23021341293046</v>
      </c>
      <c r="C39" s="20" t="inlineStr">
        <is>
          <t>Pathare Samruddhi Prashant</t>
        </is>
      </c>
      <c r="D39" s="18" t="n">
        <v>45</v>
      </c>
      <c r="E39" s="18" t="inlineStr">
        <is>
          <t>PASS</t>
        </is>
      </c>
      <c r="F39" s="18" t="n">
        <v>31</v>
      </c>
      <c r="G39" s="21" t="inlineStr">
        <is>
          <t>FAIL</t>
        </is>
      </c>
      <c r="H39" s="18" t="n">
        <v>51</v>
      </c>
      <c r="I39" s="18" t="inlineStr">
        <is>
          <t>PASS</t>
        </is>
      </c>
      <c r="J39" s="18" t="n">
        <v>34</v>
      </c>
      <c r="K39" s="21" t="inlineStr">
        <is>
          <t>FAIL</t>
        </is>
      </c>
      <c r="L39" s="18" t="n">
        <v>35</v>
      </c>
      <c r="M39" s="18" t="inlineStr">
        <is>
          <t>PASS</t>
        </is>
      </c>
      <c r="N39" s="18" t="n">
        <v>34</v>
      </c>
      <c r="O39" s="18" t="inlineStr">
        <is>
          <t>PASS</t>
        </is>
      </c>
      <c r="P39" s="18" t="n">
        <v>32</v>
      </c>
      <c r="Q39" s="18" t="inlineStr">
        <is>
          <t>PASS</t>
        </is>
      </c>
      <c r="R39" s="18" t="n">
        <v>27</v>
      </c>
      <c r="S39" s="18" t="inlineStr">
        <is>
          <t>PASS</t>
        </is>
      </c>
      <c r="T39" s="18" t="n">
        <v>54</v>
      </c>
      <c r="U39" s="18" t="inlineStr">
        <is>
          <t>PASS</t>
        </is>
      </c>
      <c r="V39" s="18" t="n">
        <v>78</v>
      </c>
      <c r="W39" s="18" t="inlineStr">
        <is>
          <t>PASS</t>
        </is>
      </c>
      <c r="X39" s="18" t="inlineStr">
        <is>
          <t>Failed in 2 subject(s)</t>
        </is>
      </c>
      <c r="Y39" s="18" t="inlineStr">
        <is>
          <t>14.00, 79.50</t>
        </is>
      </c>
    </row>
    <row r="40">
      <c r="A40" s="17" t="n">
        <v>27</v>
      </c>
      <c r="B40" s="19" t="n">
        <v>23021341293047</v>
      </c>
      <c r="C40" s="20" t="inlineStr">
        <is>
          <t>Dhawale Akshat Jitendra</t>
        </is>
      </c>
      <c r="D40" s="18" t="n">
        <v>43</v>
      </c>
      <c r="E40" s="18" t="inlineStr">
        <is>
          <t>PASS</t>
        </is>
      </c>
      <c r="F40" s="18" t="n">
        <v>31</v>
      </c>
      <c r="G40" s="21" t="inlineStr">
        <is>
          <t>FAIL</t>
        </is>
      </c>
      <c r="H40" s="18" t="n">
        <v>62</v>
      </c>
      <c r="I40" s="18" t="inlineStr">
        <is>
          <t>PASS</t>
        </is>
      </c>
      <c r="J40" s="18" t="n">
        <v>34</v>
      </c>
      <c r="K40" s="21" t="inlineStr">
        <is>
          <t>FAIL</t>
        </is>
      </c>
      <c r="L40" s="18" t="n">
        <v>33</v>
      </c>
      <c r="M40" s="18" t="inlineStr">
        <is>
          <t>PASS</t>
        </is>
      </c>
      <c r="N40" s="18" t="n">
        <v>35</v>
      </c>
      <c r="O40" s="18" t="inlineStr">
        <is>
          <t>PASS</t>
        </is>
      </c>
      <c r="P40" s="18" t="n">
        <v>35</v>
      </c>
      <c r="Q40" s="18" t="inlineStr">
        <is>
          <t>PASS</t>
        </is>
      </c>
      <c r="R40" s="18" t="n">
        <v>26</v>
      </c>
      <c r="S40" s="18" t="inlineStr">
        <is>
          <t>PASS</t>
        </is>
      </c>
      <c r="T40" s="18" t="n">
        <v>52</v>
      </c>
      <c r="U40" s="18" t="inlineStr">
        <is>
          <t>PASS</t>
        </is>
      </c>
      <c r="V40" s="18" t="n">
        <v>70</v>
      </c>
      <c r="W40" s="18" t="inlineStr">
        <is>
          <t>PASS</t>
        </is>
      </c>
      <c r="X40" s="18" t="inlineStr">
        <is>
          <t>Failed in 2 subject(s)</t>
        </is>
      </c>
      <c r="Y40" s="18" t="inlineStr">
        <is>
          <t>14.00, 84.00</t>
        </is>
      </c>
    </row>
    <row r="41">
      <c r="A41" s="17" t="n">
        <v>28</v>
      </c>
      <c r="B41" s="19" t="n">
        <v>23021341293049</v>
      </c>
      <c r="C41" s="20" t="inlineStr">
        <is>
          <t>Alat Aditya Sandipan</t>
        </is>
      </c>
      <c r="D41" s="18" t="n">
        <v>53</v>
      </c>
      <c r="E41" s="18" t="inlineStr">
        <is>
          <t>PASS</t>
        </is>
      </c>
      <c r="F41" s="18" t="n">
        <v>40</v>
      </c>
      <c r="G41" s="21" t="inlineStr">
        <is>
          <t>FAIL</t>
        </is>
      </c>
      <c r="H41" s="18" t="n">
        <v>28</v>
      </c>
      <c r="I41" s="21" t="inlineStr">
        <is>
          <t>FAIL</t>
        </is>
      </c>
      <c r="J41" s="18" t="n">
        <v>45</v>
      </c>
      <c r="K41" s="21" t="inlineStr">
        <is>
          <t>FAIL</t>
        </is>
      </c>
      <c r="L41" s="18" t="n">
        <v>35</v>
      </c>
      <c r="M41" s="18" t="inlineStr">
        <is>
          <t>PASS</t>
        </is>
      </c>
      <c r="N41" s="18" t="n">
        <v>37</v>
      </c>
      <c r="O41" s="18" t="inlineStr">
        <is>
          <t>PASS</t>
        </is>
      </c>
      <c r="P41" s="18" t="n">
        <v>42</v>
      </c>
      <c r="Q41" s="18" t="inlineStr">
        <is>
          <t>PASS</t>
        </is>
      </c>
      <c r="R41" s="18" t="n">
        <v>42</v>
      </c>
      <c r="S41" s="18" t="inlineStr">
        <is>
          <t>PASS</t>
        </is>
      </c>
      <c r="T41" s="18" t="n">
        <v>56</v>
      </c>
      <c r="U41" s="18" t="inlineStr">
        <is>
          <t>PASS</t>
        </is>
      </c>
      <c r="V41" s="18" t="n">
        <v>60</v>
      </c>
      <c r="W41" s="18" t="inlineStr">
        <is>
          <t>PASS</t>
        </is>
      </c>
      <c r="X41" s="18" t="inlineStr">
        <is>
          <t>Failed in 3 subject(s)</t>
        </is>
      </c>
      <c r="Y41" s="18" t="inlineStr">
        <is>
          <t>10.00, 66.00</t>
        </is>
      </c>
    </row>
    <row r="42">
      <c r="A42" s="17" t="n">
        <v>29</v>
      </c>
      <c r="B42" s="19" t="n">
        <v>23021341293051</v>
      </c>
      <c r="C42" s="20" t="inlineStr">
        <is>
          <t>Bhusare Prerana Ramesh</t>
        </is>
      </c>
      <c r="D42" s="18" t="n">
        <v>60</v>
      </c>
      <c r="E42" s="18" t="inlineStr">
        <is>
          <t>PASS</t>
        </is>
      </c>
      <c r="F42" s="18" t="n">
        <v>56</v>
      </c>
      <c r="G42" s="18" t="inlineStr">
        <is>
          <t>PASS</t>
        </is>
      </c>
      <c r="H42" s="18" t="n">
        <v>64</v>
      </c>
      <c r="I42" s="18" t="inlineStr">
        <is>
          <t>PASS</t>
        </is>
      </c>
      <c r="J42" s="18" t="n">
        <v>63</v>
      </c>
      <c r="K42" s="18" t="inlineStr">
        <is>
          <t>PASS</t>
        </is>
      </c>
      <c r="L42" s="18" t="n">
        <v>36</v>
      </c>
      <c r="M42" s="18" t="inlineStr">
        <is>
          <t>PASS</t>
        </is>
      </c>
      <c r="N42" s="18" t="n">
        <v>36</v>
      </c>
      <c r="O42" s="18" t="inlineStr">
        <is>
          <t>PASS</t>
        </is>
      </c>
      <c r="P42" s="18" t="n">
        <v>41</v>
      </c>
      <c r="Q42" s="18" t="inlineStr">
        <is>
          <t>PASS</t>
        </is>
      </c>
      <c r="R42" s="18" t="n">
        <v>41</v>
      </c>
      <c r="S42" s="18" t="inlineStr">
        <is>
          <t>PASS</t>
        </is>
      </c>
      <c r="T42" s="18" t="n">
        <v>76</v>
      </c>
      <c r="U42" s="18" t="inlineStr">
        <is>
          <t>PASS</t>
        </is>
      </c>
      <c r="V42" s="18" t="n">
        <v>68</v>
      </c>
      <c r="W42" s="18" t="inlineStr">
        <is>
          <t>PASS</t>
        </is>
      </c>
      <c r="X42" s="18" t="inlineStr">
        <is>
          <t>All Clear</t>
        </is>
      </c>
      <c r="Y42" s="18" t="inlineStr">
        <is>
          <t>22.00, 150.00</t>
        </is>
      </c>
    </row>
    <row r="43">
      <c r="A43" s="17" t="n">
        <v>30</v>
      </c>
      <c r="B43" s="19" t="n">
        <v>24021341293501</v>
      </c>
      <c r="C43" s="20" t="inlineStr">
        <is>
          <t>Dube Pratiksha Satish</t>
        </is>
      </c>
      <c r="D43" s="18" t="n">
        <v>48</v>
      </c>
      <c r="E43" s="18" t="inlineStr">
        <is>
          <t>PASS</t>
        </is>
      </c>
      <c r="F43" s="18" t="n">
        <v>42</v>
      </c>
      <c r="G43" s="21" t="inlineStr">
        <is>
          <t>FAIL</t>
        </is>
      </c>
      <c r="H43" s="18" t="n">
        <v>66</v>
      </c>
      <c r="I43" s="18" t="inlineStr">
        <is>
          <t>PASS</t>
        </is>
      </c>
      <c r="J43" s="18" t="n">
        <v>68</v>
      </c>
      <c r="K43" s="18" t="inlineStr">
        <is>
          <t>PASS</t>
        </is>
      </c>
      <c r="L43" s="18" t="n">
        <v>38</v>
      </c>
      <c r="M43" s="18" t="inlineStr">
        <is>
          <t>PASS</t>
        </is>
      </c>
      <c r="N43" s="18" t="n">
        <v>39</v>
      </c>
      <c r="O43" s="18" t="inlineStr">
        <is>
          <t>PASS</t>
        </is>
      </c>
      <c r="P43" s="18" t="n">
        <v>33</v>
      </c>
      <c r="Q43" s="18" t="inlineStr">
        <is>
          <t>PASS</t>
        </is>
      </c>
      <c r="R43" s="18" t="n">
        <v>33</v>
      </c>
      <c r="S43" s="18" t="inlineStr">
        <is>
          <t>PASS</t>
        </is>
      </c>
      <c r="T43" s="18" t="n">
        <v>74</v>
      </c>
      <c r="U43" s="18" t="inlineStr">
        <is>
          <t>PASS</t>
        </is>
      </c>
      <c r="V43" s="18" t="n">
        <v>71</v>
      </c>
      <c r="W43" s="18" t="inlineStr">
        <is>
          <t>PASS</t>
        </is>
      </c>
      <c r="X43" s="18" t="inlineStr">
        <is>
          <t>Failed in 1 subject(s)</t>
        </is>
      </c>
      <c r="Y43" s="18" t="inlineStr">
        <is>
          <t>18.00, 123.50</t>
        </is>
      </c>
    </row>
    <row r="44">
      <c r="A44" s="17" t="n">
        <v>31</v>
      </c>
      <c r="B44" s="19" t="n">
        <v>24021341293502</v>
      </c>
      <c r="C44" s="20" t="inlineStr">
        <is>
          <t>Kanade Rupali Dattu</t>
        </is>
      </c>
      <c r="D44" s="18" t="n">
        <v>49</v>
      </c>
      <c r="E44" s="21" t="inlineStr">
        <is>
          <t>FAIL</t>
        </is>
      </c>
      <c r="F44" s="18" t="n">
        <v>49</v>
      </c>
      <c r="G44" s="18" t="inlineStr">
        <is>
          <t>PASS</t>
        </is>
      </c>
      <c r="H44" s="18" t="n">
        <v>42</v>
      </c>
      <c r="I44" s="18" t="inlineStr">
        <is>
          <t>PASS</t>
        </is>
      </c>
      <c r="J44" s="18" t="n">
        <v>61</v>
      </c>
      <c r="K44" s="18" t="inlineStr">
        <is>
          <t>PASS</t>
        </is>
      </c>
      <c r="L44" s="18" t="n">
        <v>35</v>
      </c>
      <c r="M44" s="18" t="inlineStr">
        <is>
          <t>PASS</t>
        </is>
      </c>
      <c r="N44" s="18" t="n">
        <v>39</v>
      </c>
      <c r="O44" s="18" t="inlineStr">
        <is>
          <t>PASS</t>
        </is>
      </c>
      <c r="P44" s="18" t="n">
        <v>35</v>
      </c>
      <c r="Q44" s="18" t="inlineStr">
        <is>
          <t>PASS</t>
        </is>
      </c>
      <c r="R44" s="18" t="n">
        <v>43</v>
      </c>
      <c r="S44" s="18" t="inlineStr">
        <is>
          <t>PASS</t>
        </is>
      </c>
      <c r="T44" s="18" t="n">
        <v>61</v>
      </c>
      <c r="U44" s="18" t="inlineStr">
        <is>
          <t>PASS</t>
        </is>
      </c>
      <c r="V44" s="18" t="n">
        <v>61</v>
      </c>
      <c r="W44" s="18" t="inlineStr">
        <is>
          <t>PASS</t>
        </is>
      </c>
      <c r="X44" s="18" t="inlineStr">
        <is>
          <t>Failed in 1 subject(s)</t>
        </is>
      </c>
      <c r="Y44" s="18" t="inlineStr">
        <is>
          <t>19.00, 116.50</t>
        </is>
      </c>
    </row>
    <row r="45">
      <c r="A45" s="17" t="n">
        <v>32</v>
      </c>
      <c r="B45" s="19" t="n">
        <v>24021341293503</v>
      </c>
      <c r="C45" s="20" t="inlineStr">
        <is>
          <t>Mewade Sejal Atul</t>
        </is>
      </c>
      <c r="D45" s="18" t="n">
        <v>44</v>
      </c>
      <c r="E45" s="18" t="inlineStr">
        <is>
          <t>PASS</t>
        </is>
      </c>
      <c r="F45" s="18" t="n">
        <v>41</v>
      </c>
      <c r="G45" s="21" t="inlineStr">
        <is>
          <t>FAIL</t>
        </is>
      </c>
      <c r="H45" s="18" t="n">
        <v>61</v>
      </c>
      <c r="I45" s="18" t="inlineStr">
        <is>
          <t>PASS</t>
        </is>
      </c>
      <c r="J45" s="18" t="n">
        <v>53</v>
      </c>
      <c r="K45" s="18" t="inlineStr">
        <is>
          <t>PASS</t>
        </is>
      </c>
      <c r="L45" s="18" t="n">
        <v>34</v>
      </c>
      <c r="M45" s="18" t="inlineStr">
        <is>
          <t>PASS</t>
        </is>
      </c>
      <c r="N45" s="18" t="n">
        <v>36</v>
      </c>
      <c r="O45" s="18" t="inlineStr">
        <is>
          <t>PASS</t>
        </is>
      </c>
      <c r="P45" s="18" t="n">
        <v>39</v>
      </c>
      <c r="Q45" s="18" t="inlineStr">
        <is>
          <t>PASS</t>
        </is>
      </c>
      <c r="R45" s="18" t="n">
        <v>44</v>
      </c>
      <c r="S45" s="18" t="inlineStr">
        <is>
          <t>PASS</t>
        </is>
      </c>
      <c r="T45" s="18" t="n">
        <v>74</v>
      </c>
      <c r="U45" s="18" t="inlineStr">
        <is>
          <t>PASS</t>
        </is>
      </c>
      <c r="V45" s="18" t="n">
        <v>74</v>
      </c>
      <c r="W45" s="18" t="inlineStr">
        <is>
          <t>PASS</t>
        </is>
      </c>
      <c r="X45" s="18" t="inlineStr">
        <is>
          <t>Failed in 1 subject(s)</t>
        </is>
      </c>
      <c r="Y45" s="18" t="inlineStr">
        <is>
          <t>18.00, 117.00</t>
        </is>
      </c>
    </row>
    <row r="46">
      <c r="A46" s="17" t="n">
        <v>33</v>
      </c>
      <c r="B46" s="19" t="n">
        <v>24021341293504</v>
      </c>
      <c r="C46" s="20" t="inlineStr">
        <is>
          <t>Narwade Pranjal Sanjay</t>
        </is>
      </c>
      <c r="D46" s="18" t="n">
        <v>43</v>
      </c>
      <c r="E46" s="21" t="inlineStr">
        <is>
          <t>FAIL</t>
        </is>
      </c>
      <c r="F46" s="18" t="n">
        <v>44</v>
      </c>
      <c r="G46" s="21" t="inlineStr">
        <is>
          <t>FAIL</t>
        </is>
      </c>
      <c r="H46" s="18" t="n">
        <v>60</v>
      </c>
      <c r="I46" s="18" t="inlineStr">
        <is>
          <t>PASS</t>
        </is>
      </c>
      <c r="J46" s="18" t="n">
        <v>65</v>
      </c>
      <c r="K46" s="18" t="inlineStr">
        <is>
          <t>PASS</t>
        </is>
      </c>
      <c r="L46" s="18" t="n">
        <v>37</v>
      </c>
      <c r="M46" s="18" t="inlineStr">
        <is>
          <t>PASS</t>
        </is>
      </c>
      <c r="N46" s="18" t="n">
        <v>40</v>
      </c>
      <c r="O46" s="18" t="inlineStr">
        <is>
          <t>PASS</t>
        </is>
      </c>
      <c r="P46" s="18" t="n">
        <v>42</v>
      </c>
      <c r="Q46" s="18" t="inlineStr">
        <is>
          <t>PASS</t>
        </is>
      </c>
      <c r="R46" s="18" t="n">
        <v>46</v>
      </c>
      <c r="S46" s="18" t="inlineStr">
        <is>
          <t>PASS</t>
        </is>
      </c>
      <c r="T46" s="18" t="n">
        <v>76</v>
      </c>
      <c r="U46" s="18" t="inlineStr">
        <is>
          <t>PASS</t>
        </is>
      </c>
      <c r="V46" s="18" t="n">
        <v>76</v>
      </c>
      <c r="W46" s="18" t="inlineStr">
        <is>
          <t>PASS</t>
        </is>
      </c>
      <c r="X46" s="18" t="inlineStr">
        <is>
          <t>Failed in 2 subject(s)</t>
        </is>
      </c>
      <c r="Y46" s="18" t="inlineStr">
        <is>
          <t>15.00, 108.00</t>
        </is>
      </c>
    </row>
    <row r="47">
      <c r="A47" s="17" t="n">
        <v>34</v>
      </c>
      <c r="B47" s="19" t="n">
        <v>24021341293505</v>
      </c>
      <c r="C47" s="20" t="inlineStr">
        <is>
          <t>Nimbalkar Sujata Ravindra</t>
        </is>
      </c>
      <c r="D47" s="18" t="n">
        <v>56</v>
      </c>
      <c r="E47" s="18" t="inlineStr">
        <is>
          <t>PASS</t>
        </is>
      </c>
      <c r="F47" s="18" t="n">
        <v>50</v>
      </c>
      <c r="G47" s="18" t="inlineStr">
        <is>
          <t>PASS</t>
        </is>
      </c>
      <c r="H47" s="18" t="n">
        <v>51</v>
      </c>
      <c r="I47" s="18" t="inlineStr">
        <is>
          <t>PASS</t>
        </is>
      </c>
      <c r="J47" s="18" t="n">
        <v>58</v>
      </c>
      <c r="K47" s="18" t="inlineStr">
        <is>
          <t>PASS</t>
        </is>
      </c>
      <c r="L47" s="18" t="n">
        <v>35</v>
      </c>
      <c r="M47" s="18" t="inlineStr">
        <is>
          <t>PASS</t>
        </is>
      </c>
      <c r="N47" s="18" t="n">
        <v>42</v>
      </c>
      <c r="O47" s="18" t="inlineStr">
        <is>
          <t>PASS</t>
        </is>
      </c>
      <c r="P47" s="18" t="n">
        <v>36</v>
      </c>
      <c r="Q47" s="18" t="inlineStr">
        <is>
          <t>PASS</t>
        </is>
      </c>
      <c r="R47" s="18" t="n">
        <v>42</v>
      </c>
      <c r="S47" s="18" t="inlineStr">
        <is>
          <t>PASS</t>
        </is>
      </c>
      <c r="T47" s="18" t="n">
        <v>58</v>
      </c>
      <c r="U47" s="18" t="inlineStr">
        <is>
          <t>PASS</t>
        </is>
      </c>
      <c r="V47" s="18" t="n">
        <v>77</v>
      </c>
      <c r="W47" s="18" t="inlineStr">
        <is>
          <t>PASS</t>
        </is>
      </c>
      <c r="X47" s="18" t="inlineStr">
        <is>
          <t>All Clear</t>
        </is>
      </c>
      <c r="Y47" s="18" t="inlineStr">
        <is>
          <t>22.00, 133.50</t>
        </is>
      </c>
    </row>
    <row r="48">
      <c r="A48" s="17" t="n">
        <v>35</v>
      </c>
      <c r="B48" s="19" t="n">
        <v>24021341293506</v>
      </c>
      <c r="C48" s="20" t="inlineStr">
        <is>
          <t>Pawar Kalpana Ajinath</t>
        </is>
      </c>
      <c r="D48" s="18" t="n">
        <v>43</v>
      </c>
      <c r="E48" s="21" t="inlineStr">
        <is>
          <t>FAIL</t>
        </is>
      </c>
      <c r="F48" s="18" t="n">
        <v>39</v>
      </c>
      <c r="G48" s="21" t="inlineStr">
        <is>
          <t>FAIL</t>
        </is>
      </c>
      <c r="H48" s="18" t="n">
        <v>51</v>
      </c>
      <c r="I48" s="18" t="inlineStr">
        <is>
          <t>PASS</t>
        </is>
      </c>
      <c r="J48" s="18" t="n">
        <v>66</v>
      </c>
      <c r="K48" s="18" t="inlineStr">
        <is>
          <t>PASS</t>
        </is>
      </c>
      <c r="L48" s="18" t="n">
        <v>37</v>
      </c>
      <c r="M48" s="18" t="inlineStr">
        <is>
          <t>PASS</t>
        </is>
      </c>
      <c r="N48" s="18" t="n">
        <v>41</v>
      </c>
      <c r="O48" s="18" t="inlineStr">
        <is>
          <t>PASS</t>
        </is>
      </c>
      <c r="P48" s="18" t="n">
        <v>44</v>
      </c>
      <c r="Q48" s="18" t="inlineStr">
        <is>
          <t>PASS</t>
        </is>
      </c>
      <c r="R48" s="18" t="n">
        <v>42</v>
      </c>
      <c r="S48" s="18" t="inlineStr">
        <is>
          <t>PASS</t>
        </is>
      </c>
      <c r="T48" s="18" t="n">
        <v>62</v>
      </c>
      <c r="U48" s="18" t="inlineStr">
        <is>
          <t>PASS</t>
        </is>
      </c>
      <c r="V48" s="18" t="n">
        <v>64</v>
      </c>
      <c r="W48" s="18" t="inlineStr">
        <is>
          <t>PASS</t>
        </is>
      </c>
      <c r="X48" s="18" t="inlineStr">
        <is>
          <t>Failed in 2 subject(s)</t>
        </is>
      </c>
      <c r="Y48" s="18" t="inlineStr">
        <is>
          <t>15.00, 103.00</t>
        </is>
      </c>
    </row>
    <row r="49">
      <c r="A49" s="17" t="n">
        <v>36</v>
      </c>
      <c r="B49" s="19" t="n">
        <v>24021341293507</v>
      </c>
      <c r="C49" s="20" t="inlineStr">
        <is>
          <t>Shinde Anjali Maruti</t>
        </is>
      </c>
      <c r="D49" s="18" t="n">
        <v>44</v>
      </c>
      <c r="E49" s="21" t="inlineStr">
        <is>
          <t>FAIL</t>
        </is>
      </c>
      <c r="F49" s="18" t="n">
        <v>56</v>
      </c>
      <c r="G49" s="18" t="inlineStr">
        <is>
          <t>PASS</t>
        </is>
      </c>
      <c r="H49" s="18" t="n">
        <v>49</v>
      </c>
      <c r="I49" s="18" t="inlineStr">
        <is>
          <t>PASS</t>
        </is>
      </c>
      <c r="J49" s="18" t="n">
        <v>55</v>
      </c>
      <c r="K49" s="18" t="inlineStr">
        <is>
          <t>PASS</t>
        </is>
      </c>
      <c r="L49" s="18" t="n">
        <v>39</v>
      </c>
      <c r="M49" s="18" t="inlineStr">
        <is>
          <t>PASS</t>
        </is>
      </c>
      <c r="N49" s="18" t="n">
        <v>40</v>
      </c>
      <c r="O49" s="18" t="inlineStr">
        <is>
          <t>PASS</t>
        </is>
      </c>
      <c r="P49" s="18" t="n">
        <v>40</v>
      </c>
      <c r="Q49" s="18" t="inlineStr">
        <is>
          <t>PASS</t>
        </is>
      </c>
      <c r="R49" s="18" t="n">
        <v>46</v>
      </c>
      <c r="S49" s="18" t="inlineStr">
        <is>
          <t>PASS</t>
        </is>
      </c>
      <c r="T49" s="18" t="n">
        <v>61</v>
      </c>
      <c r="U49" s="18" t="inlineStr">
        <is>
          <t>PASS</t>
        </is>
      </c>
      <c r="V49" s="18" t="n">
        <v>73</v>
      </c>
      <c r="W49" s="18" t="inlineStr">
        <is>
          <t>PASS</t>
        </is>
      </c>
      <c r="X49" s="18" t="inlineStr">
        <is>
          <t>Failed in 1 subject(s)</t>
        </is>
      </c>
      <c r="Y49" s="18" t="inlineStr">
        <is>
          <t>19.00, 119.50</t>
        </is>
      </c>
    </row>
    <row r="50">
      <c r="A50" s="17" t="n">
        <v>37</v>
      </c>
      <c r="B50" s="19" t="n">
        <v>24021341293508</v>
      </c>
      <c r="C50" s="20" t="inlineStr">
        <is>
          <t>Syed Misba Nizam Pasha</t>
        </is>
      </c>
      <c r="D50" s="18" t="n">
        <v>60</v>
      </c>
      <c r="E50" s="18" t="inlineStr">
        <is>
          <t>PASS</t>
        </is>
      </c>
      <c r="F50" s="18" t="n">
        <v>39</v>
      </c>
      <c r="G50" s="21" t="inlineStr">
        <is>
          <t>FAIL</t>
        </is>
      </c>
      <c r="H50" s="18" t="n">
        <v>55</v>
      </c>
      <c r="I50" s="18" t="inlineStr">
        <is>
          <t>PASS</t>
        </is>
      </c>
      <c r="J50" s="18" t="n">
        <v>65</v>
      </c>
      <c r="K50" s="18" t="inlineStr">
        <is>
          <t>PASS</t>
        </is>
      </c>
      <c r="L50" s="18" t="n">
        <v>39</v>
      </c>
      <c r="M50" s="18" t="inlineStr">
        <is>
          <t>PASS</t>
        </is>
      </c>
      <c r="N50" s="18" t="n">
        <v>42</v>
      </c>
      <c r="O50" s="18" t="inlineStr">
        <is>
          <t>PASS</t>
        </is>
      </c>
      <c r="P50" s="18" t="n">
        <v>40</v>
      </c>
      <c r="Q50" s="18" t="inlineStr">
        <is>
          <t>PASS</t>
        </is>
      </c>
      <c r="R50" s="18" t="n">
        <v>46</v>
      </c>
      <c r="S50" s="18" t="inlineStr">
        <is>
          <t>PASS</t>
        </is>
      </c>
      <c r="T50" s="18" t="n">
        <v>70</v>
      </c>
      <c r="U50" s="18" t="inlineStr">
        <is>
          <t>PASS</t>
        </is>
      </c>
      <c r="V50" s="18" t="n">
        <v>58</v>
      </c>
      <c r="W50" s="18" t="inlineStr">
        <is>
          <t>PASS</t>
        </is>
      </c>
      <c r="X50" s="18" t="inlineStr">
        <is>
          <t>Failed in 1 subject(s)</t>
        </is>
      </c>
      <c r="Y50" s="18" t="inlineStr">
        <is>
          <t>18.00, 121.50</t>
        </is>
      </c>
    </row>
    <row r="51">
      <c r="A51" s="17" t="n">
        <v>38</v>
      </c>
      <c r="B51" s="19" t="n">
        <v>24021341293509</v>
      </c>
      <c r="C51" s="20" t="inlineStr">
        <is>
          <t>Ambhore  Kunal Ashok</t>
        </is>
      </c>
      <c r="D51" s="18" t="n">
        <v>81</v>
      </c>
      <c r="E51" s="18" t="inlineStr">
        <is>
          <t>PASS</t>
        </is>
      </c>
      <c r="F51" s="18" t="n">
        <v>50</v>
      </c>
      <c r="G51" s="18" t="inlineStr">
        <is>
          <t>PASS</t>
        </is>
      </c>
      <c r="H51" s="18" t="n">
        <v>60</v>
      </c>
      <c r="I51" s="18" t="inlineStr">
        <is>
          <t>PASS</t>
        </is>
      </c>
      <c r="J51" s="18" t="n">
        <v>73</v>
      </c>
      <c r="K51" s="18" t="inlineStr">
        <is>
          <t>PASS</t>
        </is>
      </c>
      <c r="L51" s="18" t="n">
        <v>38</v>
      </c>
      <c r="M51" s="18" t="inlineStr">
        <is>
          <t>PASS</t>
        </is>
      </c>
      <c r="N51" s="18" t="n">
        <v>38</v>
      </c>
      <c r="O51" s="18" t="inlineStr">
        <is>
          <t>PASS</t>
        </is>
      </c>
      <c r="P51" s="18" t="n">
        <v>41</v>
      </c>
      <c r="Q51" s="18" t="inlineStr">
        <is>
          <t>PASS</t>
        </is>
      </c>
      <c r="R51" s="18" t="n">
        <v>44</v>
      </c>
      <c r="S51" s="18" t="inlineStr">
        <is>
          <t>PASS</t>
        </is>
      </c>
      <c r="T51" s="18" t="n">
        <v>69</v>
      </c>
      <c r="U51" s="18" t="inlineStr">
        <is>
          <t>PASS</t>
        </is>
      </c>
      <c r="V51" s="18" t="n">
        <v>75</v>
      </c>
      <c r="W51" s="18" t="inlineStr">
        <is>
          <t>PASS</t>
        </is>
      </c>
      <c r="X51" s="18" t="inlineStr">
        <is>
          <t>All Clear</t>
        </is>
      </c>
      <c r="Y51" s="18" t="inlineStr">
        <is>
          <t>22.00, 154.00</t>
        </is>
      </c>
    </row>
    <row r="52">
      <c r="A52" s="17" t="n">
        <v>39</v>
      </c>
      <c r="B52" s="19" t="n">
        <v>24021341293510</v>
      </c>
      <c r="C52" s="20" t="inlineStr">
        <is>
          <t>Babirwal Kiran Harikishor</t>
        </is>
      </c>
      <c r="D52" s="18" t="n">
        <v>34</v>
      </c>
      <c r="E52" s="21" t="inlineStr">
        <is>
          <t>FAIL</t>
        </is>
      </c>
      <c r="F52" s="18" t="n">
        <v>28</v>
      </c>
      <c r="G52" s="21" t="inlineStr">
        <is>
          <t>FAIL</t>
        </is>
      </c>
      <c r="H52" s="18" t="n">
        <v>35</v>
      </c>
      <c r="I52" s="21" t="inlineStr">
        <is>
          <t>FAIL</t>
        </is>
      </c>
      <c r="J52" s="18" t="n">
        <v>35</v>
      </c>
      <c r="K52" s="21" t="inlineStr">
        <is>
          <t>FAIL</t>
        </is>
      </c>
      <c r="L52" s="18" t="n">
        <v>38</v>
      </c>
      <c r="M52" s="18" t="inlineStr">
        <is>
          <t>PASS</t>
        </is>
      </c>
      <c r="N52" s="18" t="n">
        <v>36</v>
      </c>
      <c r="O52" s="18" t="inlineStr">
        <is>
          <t>PASS</t>
        </is>
      </c>
      <c r="P52" s="18" t="n">
        <v>32</v>
      </c>
      <c r="Q52" s="18" t="inlineStr">
        <is>
          <t>PASS</t>
        </is>
      </c>
      <c r="R52" s="18" t="n">
        <v>26</v>
      </c>
      <c r="S52" s="18" t="inlineStr">
        <is>
          <t>PASS</t>
        </is>
      </c>
      <c r="T52" s="18" t="n">
        <v>56</v>
      </c>
      <c r="U52" s="18" t="inlineStr">
        <is>
          <t>PASS</t>
        </is>
      </c>
      <c r="V52" s="18" t="n">
        <v>47</v>
      </c>
      <c r="W52" s="18" t="inlineStr">
        <is>
          <t>PASS</t>
        </is>
      </c>
      <c r="X52" s="18" t="inlineStr">
        <is>
          <t>Failed in 4 subject(s)</t>
        </is>
      </c>
      <c r="Y52" s="18" t="inlineStr">
        <is>
          <t>7.00, 45.50</t>
        </is>
      </c>
    </row>
    <row r="53">
      <c r="A53" s="17" t="n">
        <v>40</v>
      </c>
      <c r="B53" s="19" t="n">
        <v>24021341293511</v>
      </c>
      <c r="C53" s="20" t="inlineStr">
        <is>
          <t>Bagale  Devendra Sanjay</t>
        </is>
      </c>
      <c r="D53" s="18" t="n">
        <v>43</v>
      </c>
      <c r="E53" s="21" t="inlineStr">
        <is>
          <t>FAIL</t>
        </is>
      </c>
      <c r="F53" s="18" t="n">
        <v>31</v>
      </c>
      <c r="G53" s="21" t="inlineStr">
        <is>
          <t>FAIL</t>
        </is>
      </c>
      <c r="H53" s="18" t="n">
        <v>48</v>
      </c>
      <c r="I53" s="18" t="inlineStr">
        <is>
          <t>PASS</t>
        </is>
      </c>
      <c r="J53" s="18" t="n">
        <v>71</v>
      </c>
      <c r="K53" s="18" t="inlineStr">
        <is>
          <t>PASS</t>
        </is>
      </c>
      <c r="L53" s="18" t="n">
        <v>36</v>
      </c>
      <c r="M53" s="18" t="inlineStr">
        <is>
          <t>PASS</t>
        </is>
      </c>
      <c r="N53" s="18" t="n">
        <v>37</v>
      </c>
      <c r="O53" s="18" t="inlineStr">
        <is>
          <t>PASS</t>
        </is>
      </c>
      <c r="P53" s="18" t="n">
        <v>36</v>
      </c>
      <c r="Q53" s="18" t="inlineStr">
        <is>
          <t>PASS</t>
        </is>
      </c>
      <c r="R53" s="18" t="n">
        <v>42</v>
      </c>
      <c r="S53" s="18" t="inlineStr">
        <is>
          <t>PASS</t>
        </is>
      </c>
      <c r="T53" s="18" t="n">
        <v>70</v>
      </c>
      <c r="U53" s="18" t="inlineStr">
        <is>
          <t>PASS</t>
        </is>
      </c>
      <c r="V53" s="18" t="n">
        <v>65</v>
      </c>
      <c r="W53" s="18" t="inlineStr">
        <is>
          <t>PASS</t>
        </is>
      </c>
      <c r="X53" s="18" t="inlineStr">
        <is>
          <t>Failed in 2 subject(s)</t>
        </is>
      </c>
      <c r="Y53" s="18" t="inlineStr">
        <is>
          <t>15.00, 102.00</t>
        </is>
      </c>
    </row>
    <row r="54">
      <c r="A54" s="17" t="n">
        <v>41</v>
      </c>
      <c r="B54" s="19" t="n">
        <v>24021341293512</v>
      </c>
      <c r="C54" s="20" t="inlineStr">
        <is>
          <t>Bhagat Nagsen Laxman</t>
        </is>
      </c>
      <c r="D54" s="18" t="n">
        <v>60</v>
      </c>
      <c r="E54" s="18" t="inlineStr">
        <is>
          <t>PASS</t>
        </is>
      </c>
      <c r="F54" s="18" t="n">
        <v>43</v>
      </c>
      <c r="G54" s="21" t="inlineStr">
        <is>
          <t>FAIL</t>
        </is>
      </c>
      <c r="H54" s="18" t="n">
        <v>62</v>
      </c>
      <c r="I54" s="18" t="inlineStr">
        <is>
          <t>PASS</t>
        </is>
      </c>
      <c r="J54" s="18" t="n">
        <v>59</v>
      </c>
      <c r="K54" s="18" t="inlineStr">
        <is>
          <t>PASS</t>
        </is>
      </c>
      <c r="L54" s="18" t="n">
        <v>34</v>
      </c>
      <c r="M54" s="18" t="inlineStr">
        <is>
          <t>PASS</t>
        </is>
      </c>
      <c r="N54" s="18" t="n">
        <v>38</v>
      </c>
      <c r="O54" s="18" t="inlineStr">
        <is>
          <t>PASS</t>
        </is>
      </c>
      <c r="P54" s="18" t="n">
        <v>34</v>
      </c>
      <c r="Q54" s="18" t="inlineStr">
        <is>
          <t>PASS</t>
        </is>
      </c>
      <c r="R54" s="18" t="n">
        <v>34</v>
      </c>
      <c r="S54" s="18" t="inlineStr">
        <is>
          <t>PASS</t>
        </is>
      </c>
      <c r="T54" s="18" t="n">
        <v>69</v>
      </c>
      <c r="U54" s="18" t="inlineStr">
        <is>
          <t>PASS</t>
        </is>
      </c>
      <c r="V54" s="18" t="n">
        <v>56</v>
      </c>
      <c r="W54" s="18" t="inlineStr">
        <is>
          <t>PASS</t>
        </is>
      </c>
      <c r="X54" s="18" t="inlineStr">
        <is>
          <t>Failed in 1 subject(s)</t>
        </is>
      </c>
      <c r="Y54" s="18" t="inlineStr">
        <is>
          <t>18.00, 118.00</t>
        </is>
      </c>
    </row>
    <row r="55">
      <c r="A55" s="17" t="n">
        <v>42</v>
      </c>
      <c r="B55" s="19" t="n">
        <v>24021341293516</v>
      </c>
      <c r="C55" s="20" t="inlineStr">
        <is>
          <t>Misal Dipak Eknath</t>
        </is>
      </c>
      <c r="D55" s="18" t="n">
        <v>62</v>
      </c>
      <c r="E55" s="18" t="inlineStr">
        <is>
          <t>PASS</t>
        </is>
      </c>
      <c r="F55" s="18" t="n">
        <v>37</v>
      </c>
      <c r="G55" s="21" t="inlineStr">
        <is>
          <t>FAIL</t>
        </is>
      </c>
      <c r="H55" s="18" t="n">
        <v>64</v>
      </c>
      <c r="I55" s="18" t="inlineStr">
        <is>
          <t>PASS</t>
        </is>
      </c>
      <c r="J55" s="18" t="n">
        <v>62</v>
      </c>
      <c r="K55" s="18" t="inlineStr">
        <is>
          <t>PASS</t>
        </is>
      </c>
      <c r="L55" s="18" t="n">
        <v>33</v>
      </c>
      <c r="M55" s="18" t="inlineStr">
        <is>
          <t>PASS</t>
        </is>
      </c>
      <c r="N55" s="18" t="n">
        <v>37</v>
      </c>
      <c r="O55" s="18" t="inlineStr">
        <is>
          <t>PASS</t>
        </is>
      </c>
      <c r="P55" s="18" t="n">
        <v>34</v>
      </c>
      <c r="Q55" s="18" t="inlineStr">
        <is>
          <t>PASS</t>
        </is>
      </c>
      <c r="R55" s="18" t="n">
        <v>34</v>
      </c>
      <c r="S55" s="18" t="inlineStr">
        <is>
          <t>PASS</t>
        </is>
      </c>
      <c r="T55" s="18" t="n">
        <v>73</v>
      </c>
      <c r="U55" s="18" t="inlineStr">
        <is>
          <t>PASS</t>
        </is>
      </c>
      <c r="V55" s="18" t="n">
        <v>53</v>
      </c>
      <c r="W55" s="18" t="inlineStr">
        <is>
          <t>PASS</t>
        </is>
      </c>
      <c r="X55" s="18" t="inlineStr">
        <is>
          <t>Failed in 1 subject(s)</t>
        </is>
      </c>
      <c r="Y55" s="18" t="inlineStr">
        <is>
          <t>18.00, 122.50</t>
        </is>
      </c>
    </row>
    <row r="56">
      <c r="A56" s="17" t="n">
        <v>43</v>
      </c>
      <c r="B56" s="19" t="n">
        <v>24021341293517</v>
      </c>
      <c r="C56" s="20" t="inlineStr">
        <is>
          <t>Mohammed Arfat Mohammed Aslam</t>
        </is>
      </c>
      <c r="D56" s="18" t="n">
        <v>38</v>
      </c>
      <c r="E56" s="21" t="inlineStr">
        <is>
          <t>FAIL</t>
        </is>
      </c>
      <c r="F56" s="18" t="n">
        <v>31</v>
      </c>
      <c r="G56" s="21" t="inlineStr">
        <is>
          <t>FAIL</t>
        </is>
      </c>
      <c r="H56" s="18" t="n">
        <v>70</v>
      </c>
      <c r="I56" s="18" t="inlineStr">
        <is>
          <t>PASS</t>
        </is>
      </c>
      <c r="J56" s="18" t="n">
        <v>50</v>
      </c>
      <c r="K56" s="18" t="inlineStr">
        <is>
          <t>PASS</t>
        </is>
      </c>
      <c r="L56" s="18" t="n">
        <v>33</v>
      </c>
      <c r="M56" s="18" t="inlineStr">
        <is>
          <t>PASS</t>
        </is>
      </c>
      <c r="N56" s="18" t="n">
        <v>34</v>
      </c>
      <c r="O56" s="18" t="inlineStr">
        <is>
          <t>PASS</t>
        </is>
      </c>
      <c r="P56" s="18" t="n">
        <v>31</v>
      </c>
      <c r="Q56" s="18" t="inlineStr">
        <is>
          <t>PASS</t>
        </is>
      </c>
      <c r="R56" s="18" t="n">
        <v>32</v>
      </c>
      <c r="S56" s="18" t="inlineStr">
        <is>
          <t>PASS</t>
        </is>
      </c>
      <c r="T56" s="18" t="n">
        <v>60</v>
      </c>
      <c r="U56" s="18" t="inlineStr">
        <is>
          <t>PASS</t>
        </is>
      </c>
      <c r="V56" s="18" t="n">
        <v>58</v>
      </c>
      <c r="W56" s="18" t="inlineStr">
        <is>
          <t>PASS</t>
        </is>
      </c>
      <c r="X56" s="18" t="inlineStr">
        <is>
          <t>Failed in 2 subject(s)</t>
        </is>
      </c>
      <c r="Y56" s="18" t="inlineStr">
        <is>
          <t>15.00, 93.00</t>
        </is>
      </c>
    </row>
    <row r="57">
      <c r="A57" s="17" t="n">
        <v>44</v>
      </c>
      <c r="B57" s="19" t="n">
        <v>24021341293519</v>
      </c>
      <c r="C57" s="20" t="inlineStr">
        <is>
          <t>Raut Karan Babasaheb</t>
        </is>
      </c>
      <c r="D57" s="18" t="n">
        <v>26</v>
      </c>
      <c r="E57" s="21" t="inlineStr">
        <is>
          <t>FAIL</t>
        </is>
      </c>
      <c r="F57" s="18" t="n">
        <v>28</v>
      </c>
      <c r="G57" s="21" t="inlineStr">
        <is>
          <t>FAIL</t>
        </is>
      </c>
      <c r="H57" s="18" t="n">
        <v>27</v>
      </c>
      <c r="I57" s="21" t="inlineStr">
        <is>
          <t>FAIL</t>
        </is>
      </c>
      <c r="J57" s="18" t="n">
        <v>22</v>
      </c>
      <c r="K57" s="22" t="inlineStr">
        <is>
          <t>AB</t>
        </is>
      </c>
      <c r="L57" s="18" t="n">
        <v>15</v>
      </c>
      <c r="M57" s="22" t="inlineStr">
        <is>
          <t>AB</t>
        </is>
      </c>
      <c r="N57" s="18" t="n">
        <v>15</v>
      </c>
      <c r="O57" s="22" t="inlineStr">
        <is>
          <t>AB</t>
        </is>
      </c>
      <c r="P57" s="18" t="n">
        <v>15</v>
      </c>
      <c r="Q57" s="22" t="inlineStr">
        <is>
          <t>AB</t>
        </is>
      </c>
      <c r="R57" s="18" t="n">
        <v>15</v>
      </c>
      <c r="S57" s="22" t="inlineStr">
        <is>
          <t>AB</t>
        </is>
      </c>
      <c r="T57" s="18" t="n">
        <v>53</v>
      </c>
      <c r="U57" s="18" t="inlineStr">
        <is>
          <t>PASS</t>
        </is>
      </c>
      <c r="V57" s="18" t="n">
        <v>63</v>
      </c>
      <c r="W57" s="18" t="inlineStr">
        <is>
          <t>PASS</t>
        </is>
      </c>
      <c r="X57" s="18" t="inlineStr">
        <is>
          <t>Failed in 8 subject(s)</t>
        </is>
      </c>
      <c r="Y57" s="18" t="inlineStr">
        <is>
          <t>3.00, 16.50</t>
        </is>
      </c>
    </row>
    <row r="58">
      <c r="A58" s="17" t="n">
        <v>45</v>
      </c>
      <c r="B58" s="19" t="n">
        <v>24021341293520</v>
      </c>
      <c r="C58" s="20" t="inlineStr">
        <is>
          <t>Salam  Mayur Krushna</t>
        </is>
      </c>
      <c r="D58" s="18" t="n">
        <v>32</v>
      </c>
      <c r="E58" s="21" t="inlineStr">
        <is>
          <t>FAIL</t>
        </is>
      </c>
      <c r="F58" s="18" t="n">
        <v>32</v>
      </c>
      <c r="G58" s="21" t="inlineStr">
        <is>
          <t>FAIL</t>
        </is>
      </c>
      <c r="H58" s="18" t="n">
        <v>40</v>
      </c>
      <c r="I58" s="18" t="inlineStr">
        <is>
          <t>PASS</t>
        </is>
      </c>
      <c r="J58" s="18" t="n">
        <v>59</v>
      </c>
      <c r="K58" s="18" t="inlineStr">
        <is>
          <t>PASS</t>
        </is>
      </c>
      <c r="L58" s="18" t="n">
        <v>37</v>
      </c>
      <c r="M58" s="18" t="inlineStr">
        <is>
          <t>PASS</t>
        </is>
      </c>
      <c r="N58" s="18" t="n">
        <v>34</v>
      </c>
      <c r="O58" s="18" t="inlineStr">
        <is>
          <t>PASS</t>
        </is>
      </c>
      <c r="P58" s="18" t="n">
        <v>36</v>
      </c>
      <c r="Q58" s="18" t="inlineStr">
        <is>
          <t>PASS</t>
        </is>
      </c>
      <c r="R58" s="18" t="n">
        <v>32</v>
      </c>
      <c r="S58" s="18" t="inlineStr">
        <is>
          <t>PASS</t>
        </is>
      </c>
      <c r="T58" s="18" t="n">
        <v>59</v>
      </c>
      <c r="U58" s="18" t="inlineStr">
        <is>
          <t>PASS</t>
        </is>
      </c>
      <c r="V58" s="18" t="n">
        <v>63</v>
      </c>
      <c r="W58" s="18" t="inlineStr">
        <is>
          <t>PASS</t>
        </is>
      </c>
      <c r="X58" s="18" t="inlineStr">
        <is>
          <t>Failed in 2 subject(s)</t>
        </is>
      </c>
      <c r="Y58" s="18" t="inlineStr">
        <is>
          <t>15.00, 90.50</t>
        </is>
      </c>
    </row>
    <row r="59">
      <c r="A59" s="17" t="n">
        <v>46</v>
      </c>
      <c r="B59" s="19" t="n">
        <v>24021341293521</v>
      </c>
      <c r="C59" s="20" t="inlineStr">
        <is>
          <t>Shisode Harshad Ranjansingh</t>
        </is>
      </c>
      <c r="D59" s="18" t="n">
        <v>54</v>
      </c>
      <c r="E59" s="18" t="inlineStr">
        <is>
          <t>PASS</t>
        </is>
      </c>
      <c r="F59" s="18" t="n">
        <v>29</v>
      </c>
      <c r="G59" s="21" t="inlineStr">
        <is>
          <t>FAIL</t>
        </is>
      </c>
      <c r="H59" s="18" t="n">
        <v>31</v>
      </c>
      <c r="I59" s="21" t="inlineStr">
        <is>
          <t>FAIL</t>
        </is>
      </c>
      <c r="J59" s="18" t="n">
        <v>34</v>
      </c>
      <c r="K59" s="21" t="inlineStr">
        <is>
          <t>FAIL</t>
        </is>
      </c>
      <c r="L59" s="18" t="n">
        <v>34</v>
      </c>
      <c r="M59" s="18" t="inlineStr">
        <is>
          <t>PASS</t>
        </is>
      </c>
      <c r="N59" s="18" t="n">
        <v>34</v>
      </c>
      <c r="O59" s="18" t="inlineStr">
        <is>
          <t>PASS</t>
        </is>
      </c>
      <c r="P59" s="18" t="n">
        <v>30</v>
      </c>
      <c r="Q59" s="18" t="inlineStr">
        <is>
          <t>PASS</t>
        </is>
      </c>
      <c r="R59" s="18" t="n">
        <v>25</v>
      </c>
      <c r="S59" s="18" t="inlineStr">
        <is>
          <t>PASS</t>
        </is>
      </c>
      <c r="T59" s="18" t="n">
        <v>48</v>
      </c>
      <c r="U59" s="18" t="inlineStr">
        <is>
          <t>PASS</t>
        </is>
      </c>
      <c r="V59" s="18" t="n">
        <v>53</v>
      </c>
      <c r="W59" s="18" t="inlineStr">
        <is>
          <t>PASS</t>
        </is>
      </c>
      <c r="X59" s="18" t="inlineStr">
        <is>
          <t>Failed in 3 subject(s)</t>
        </is>
      </c>
      <c r="Y59" s="18" t="inlineStr">
        <is>
          <t>10.00, 56.50</t>
        </is>
      </c>
    </row>
    <row r="60">
      <c r="A60" s="17" t="n">
        <v>47</v>
      </c>
      <c r="B60" s="19" t="n">
        <v>24021341293522</v>
      </c>
      <c r="C60" s="20" t="inlineStr">
        <is>
          <t>Verule Aditya Satish</t>
        </is>
      </c>
      <c r="D60" s="18" t="n">
        <v>56</v>
      </c>
      <c r="E60" s="18" t="inlineStr">
        <is>
          <t>PASS</t>
        </is>
      </c>
      <c r="F60" s="18" t="n">
        <v>43</v>
      </c>
      <c r="G60" s="21" t="inlineStr">
        <is>
          <t>FAIL</t>
        </is>
      </c>
      <c r="H60" s="18" t="n">
        <v>53</v>
      </c>
      <c r="I60" s="18" t="inlineStr">
        <is>
          <t>PASS</t>
        </is>
      </c>
      <c r="J60" s="18" t="n">
        <v>53</v>
      </c>
      <c r="K60" s="18" t="inlineStr">
        <is>
          <t>PASS</t>
        </is>
      </c>
      <c r="L60" s="18" t="n">
        <v>38</v>
      </c>
      <c r="M60" s="18" t="inlineStr">
        <is>
          <t>PASS</t>
        </is>
      </c>
      <c r="N60" s="18" t="n">
        <v>38</v>
      </c>
      <c r="O60" s="18" t="inlineStr">
        <is>
          <t>PASS</t>
        </is>
      </c>
      <c r="P60" s="18" t="n">
        <v>36</v>
      </c>
      <c r="Q60" s="18" t="inlineStr">
        <is>
          <t>PASS</t>
        </is>
      </c>
      <c r="R60" s="18" t="n">
        <v>38</v>
      </c>
      <c r="S60" s="18" t="inlineStr">
        <is>
          <t>PASS</t>
        </is>
      </c>
      <c r="T60" s="18" t="n">
        <v>66</v>
      </c>
      <c r="U60" s="18" t="inlineStr">
        <is>
          <t>PASS</t>
        </is>
      </c>
      <c r="V60" s="18" t="n">
        <v>69</v>
      </c>
      <c r="W60" s="18" t="inlineStr">
        <is>
          <t>PASS</t>
        </is>
      </c>
      <c r="X60" s="18" t="inlineStr">
        <is>
          <t>Failed in 1 subject(s)</t>
        </is>
      </c>
      <c r="Y60" s="18" t="inlineStr">
        <is>
          <t>18.00, 114.50</t>
        </is>
      </c>
    </row>
    <row r="61">
      <c r="A61" s="17" t="n">
        <v>48</v>
      </c>
      <c r="B61" s="19" t="n">
        <v>24021341293523</v>
      </c>
      <c r="C61" s="20" t="inlineStr">
        <is>
          <t>Waghmare Nagorao Laxman</t>
        </is>
      </c>
      <c r="D61" s="18" t="n">
        <v>68</v>
      </c>
      <c r="E61" s="18" t="inlineStr">
        <is>
          <t>PASS</t>
        </is>
      </c>
      <c r="F61" s="18" t="n">
        <v>38</v>
      </c>
      <c r="G61" s="21" t="inlineStr">
        <is>
          <t>FAIL</t>
        </is>
      </c>
      <c r="H61" s="18" t="n">
        <v>53</v>
      </c>
      <c r="I61" s="18" t="inlineStr">
        <is>
          <t>PASS</t>
        </is>
      </c>
      <c r="J61" s="18" t="n">
        <v>51</v>
      </c>
      <c r="K61" s="18" t="inlineStr">
        <is>
          <t>PASS</t>
        </is>
      </c>
      <c r="L61" s="18" t="n">
        <v>36</v>
      </c>
      <c r="M61" s="18" t="inlineStr">
        <is>
          <t>PASS</t>
        </is>
      </c>
      <c r="N61" s="18" t="n">
        <v>36</v>
      </c>
      <c r="O61" s="18" t="inlineStr">
        <is>
          <t>PASS</t>
        </is>
      </c>
      <c r="P61" s="18" t="n">
        <v>33</v>
      </c>
      <c r="Q61" s="18" t="inlineStr">
        <is>
          <t>PASS</t>
        </is>
      </c>
      <c r="R61" s="18" t="n">
        <v>26</v>
      </c>
      <c r="S61" s="18" t="inlineStr">
        <is>
          <t>PASS</t>
        </is>
      </c>
      <c r="T61" s="18" t="n">
        <v>67</v>
      </c>
      <c r="U61" s="18" t="inlineStr">
        <is>
          <t>PASS</t>
        </is>
      </c>
      <c r="V61" s="18" t="n">
        <v>67</v>
      </c>
      <c r="W61" s="18" t="inlineStr">
        <is>
          <t>PASS</t>
        </is>
      </c>
      <c r="X61" s="18" t="inlineStr">
        <is>
          <t>Failed in 1 subject(s)</t>
        </is>
      </c>
      <c r="Y61" s="18" t="inlineStr">
        <is>
          <t>18.00, 113.50</t>
        </is>
      </c>
    </row>
    <row r="62">
      <c r="A62" s="17" t="n">
        <v>49</v>
      </c>
      <c r="B62" s="19" t="n">
        <v>24021341293524</v>
      </c>
      <c r="C62" s="20" t="inlineStr">
        <is>
          <t>Wananje Nilesh Suryakant</t>
        </is>
      </c>
      <c r="D62" s="18" t="n">
        <v>56</v>
      </c>
      <c r="E62" s="18" t="inlineStr">
        <is>
          <t>PASS</t>
        </is>
      </c>
      <c r="F62" s="18" t="n">
        <v>50</v>
      </c>
      <c r="G62" s="18" t="inlineStr">
        <is>
          <t>PASS</t>
        </is>
      </c>
      <c r="H62" s="18" t="n">
        <v>61</v>
      </c>
      <c r="I62" s="18" t="inlineStr">
        <is>
          <t>PASS</t>
        </is>
      </c>
      <c r="J62" s="18" t="n">
        <v>68</v>
      </c>
      <c r="K62" s="18" t="inlineStr">
        <is>
          <t>PASS</t>
        </is>
      </c>
      <c r="L62" s="18" t="n">
        <v>38</v>
      </c>
      <c r="M62" s="18" t="inlineStr">
        <is>
          <t>PASS</t>
        </is>
      </c>
      <c r="N62" s="18" t="n">
        <v>40</v>
      </c>
      <c r="O62" s="18" t="inlineStr">
        <is>
          <t>PASS</t>
        </is>
      </c>
      <c r="P62" s="18" t="n">
        <v>41</v>
      </c>
      <c r="Q62" s="18" t="inlineStr">
        <is>
          <t>PASS</t>
        </is>
      </c>
      <c r="R62" s="18" t="n">
        <v>43</v>
      </c>
      <c r="S62" s="18" t="inlineStr">
        <is>
          <t>PASS</t>
        </is>
      </c>
      <c r="T62" s="18" t="n">
        <v>65</v>
      </c>
      <c r="U62" s="18" t="inlineStr">
        <is>
          <t>PASS</t>
        </is>
      </c>
      <c r="V62" s="18" t="n">
        <v>63</v>
      </c>
      <c r="W62" s="18" t="inlineStr">
        <is>
          <t>PASS</t>
        </is>
      </c>
      <c r="X62" s="18" t="inlineStr">
        <is>
          <t>All Clear</t>
        </is>
      </c>
      <c r="Y62" s="18" t="inlineStr">
        <is>
          <t>22.00, 145.00</t>
        </is>
      </c>
    </row>
    <row r="63">
      <c r="A63" s="17" t="n">
        <v>50</v>
      </c>
      <c r="B63" s="19" t="n">
        <v>24021341293525</v>
      </c>
      <c r="C63" s="20" t="inlineStr">
        <is>
          <t>Yeolkar  Abhijeet Dattatray</t>
        </is>
      </c>
      <c r="D63" s="18" t="n">
        <v>41</v>
      </c>
      <c r="E63" s="21" t="inlineStr">
        <is>
          <t>FAIL</t>
        </is>
      </c>
      <c r="F63" s="18" t="n">
        <v>40</v>
      </c>
      <c r="G63" s="21" t="inlineStr">
        <is>
          <t>FAIL</t>
        </is>
      </c>
      <c r="H63" s="18" t="n">
        <v>62</v>
      </c>
      <c r="I63" s="18" t="inlineStr">
        <is>
          <t>PASS</t>
        </is>
      </c>
      <c r="J63" s="18" t="n">
        <v>54</v>
      </c>
      <c r="K63" s="18" t="inlineStr">
        <is>
          <t>PASS</t>
        </is>
      </c>
      <c r="L63" s="18" t="n">
        <v>37</v>
      </c>
      <c r="M63" s="18" t="inlineStr">
        <is>
          <t>PASS</t>
        </is>
      </c>
      <c r="N63" s="18" t="n">
        <v>40</v>
      </c>
      <c r="O63" s="18" t="inlineStr">
        <is>
          <t>PASS</t>
        </is>
      </c>
      <c r="P63" s="18" t="n">
        <v>33</v>
      </c>
      <c r="Q63" s="18" t="inlineStr">
        <is>
          <t>PASS</t>
        </is>
      </c>
      <c r="R63" s="18" t="n">
        <v>35</v>
      </c>
      <c r="S63" s="18" t="inlineStr">
        <is>
          <t>PASS</t>
        </is>
      </c>
      <c r="T63" s="18" t="n">
        <v>54</v>
      </c>
      <c r="U63" s="18" t="inlineStr">
        <is>
          <t>PASS</t>
        </is>
      </c>
      <c r="V63" s="18" t="n">
        <v>58</v>
      </c>
      <c r="W63" s="18" t="inlineStr">
        <is>
          <t>PASS</t>
        </is>
      </c>
      <c r="X63" s="18" t="inlineStr">
        <is>
          <t>Failed in 2 subject(s)</t>
        </is>
      </c>
      <c r="Y63" s="18" t="inlineStr">
        <is>
          <t>15.00, 94.00</t>
        </is>
      </c>
    </row>
    <row r="64">
      <c r="C64" s="23" t="n"/>
    </row>
    <row r="65">
      <c r="C65" s="20" t="inlineStr">
        <is>
          <t>Total Pass Students:</t>
        </is>
      </c>
      <c r="D65" s="18">
        <f>COUNTIF(E14:E63, "PASS")</f>
        <v/>
      </c>
      <c r="E65" s="24">
        <f>D65/D67</f>
        <v/>
      </c>
      <c r="F65" s="18">
        <f>COUNTIF(G14:G63, "PASS")</f>
        <v/>
      </c>
      <c r="G65" s="24">
        <f>F65/F67</f>
        <v/>
      </c>
      <c r="H65" s="18">
        <f>COUNTIF(I14:I63, "PASS")</f>
        <v/>
      </c>
      <c r="I65" s="24">
        <f>H65/H67</f>
        <v/>
      </c>
      <c r="J65" s="18">
        <f>COUNTIF(K14:K63, "PASS")</f>
        <v/>
      </c>
      <c r="K65" s="24">
        <f>J65/J67</f>
        <v/>
      </c>
      <c r="L65" s="18">
        <f>COUNTIF(M14:M63, "PASS")</f>
        <v/>
      </c>
      <c r="M65" s="24">
        <f>L65/L67</f>
        <v/>
      </c>
      <c r="N65" s="18">
        <f>COUNTIF(O14:O63, "PASS")</f>
        <v/>
      </c>
      <c r="O65" s="24">
        <f>N65/N67</f>
        <v/>
      </c>
      <c r="P65" s="18">
        <f>COUNTIF(Q14:Q63, "PASS")</f>
        <v/>
      </c>
      <c r="Q65" s="24">
        <f>P65/P67</f>
        <v/>
      </c>
      <c r="R65" s="18">
        <f>COUNTIF(S14:S63, "PASS")</f>
        <v/>
      </c>
      <c r="S65" s="24">
        <f>R65/R67</f>
        <v/>
      </c>
      <c r="T65" s="18">
        <f>COUNTIF(U14:U63, "PASS")</f>
        <v/>
      </c>
      <c r="U65" s="24">
        <f>T65/T67</f>
        <v/>
      </c>
      <c r="V65" s="18">
        <f>COUNTIF(W14:W63, "PASS")</f>
        <v/>
      </c>
      <c r="W65" s="25" t="inlineStr">
        <is>
          <t>All Clear:</t>
        </is>
      </c>
      <c r="X65" s="17">
        <f>COUNTIF(X14:X63, "All Clear")</f>
        <v/>
      </c>
    </row>
    <row r="66">
      <c r="C66" s="20" t="inlineStr">
        <is>
          <t>Total Fail Students:</t>
        </is>
      </c>
      <c r="D66" s="18">
        <f>COUNTIF(E14:E63, "FAIL")</f>
        <v/>
      </c>
      <c r="E66" s="24">
        <f>D66/D67</f>
        <v/>
      </c>
      <c r="F66" s="18">
        <f>COUNTIF(G14:G63, "FAIL")</f>
        <v/>
      </c>
      <c r="G66" s="24">
        <f>F66/F67</f>
        <v/>
      </c>
      <c r="H66" s="18">
        <f>COUNTIF(I14:I63, "FAIL")</f>
        <v/>
      </c>
      <c r="I66" s="24">
        <f>H66/H67</f>
        <v/>
      </c>
      <c r="J66" s="18">
        <f>COUNTIF(K14:K63, "FAIL")</f>
        <v/>
      </c>
      <c r="K66" s="24">
        <f>J66/J67</f>
        <v/>
      </c>
      <c r="L66" s="18">
        <f>COUNTIF(M14:M63, "FAIL")</f>
        <v/>
      </c>
      <c r="M66" s="24">
        <f>L66/L67</f>
        <v/>
      </c>
      <c r="N66" s="18">
        <f>COUNTIF(O14:O63, "FAIL")</f>
        <v/>
      </c>
      <c r="O66" s="24">
        <f>N66/N67</f>
        <v/>
      </c>
      <c r="P66" s="18">
        <f>COUNTIF(Q14:Q63, "FAIL")</f>
        <v/>
      </c>
      <c r="Q66" s="24">
        <f>P66/P67</f>
        <v/>
      </c>
      <c r="R66" s="18">
        <f>COUNTIF(S14:S63, "FAIL")</f>
        <v/>
      </c>
      <c r="S66" s="24">
        <f>R66/R67</f>
        <v/>
      </c>
      <c r="T66" s="18">
        <f>COUNTIF(U14:U63, "FAIL")</f>
        <v/>
      </c>
      <c r="U66" s="24">
        <f>T66/T67</f>
        <v/>
      </c>
      <c r="V66" s="18">
        <f>COUNTIF(W14:W63, "FAIL")</f>
        <v/>
      </c>
      <c r="W66" s="25" t="inlineStr">
        <is>
          <t>Backlog:</t>
        </is>
      </c>
      <c r="X66" s="17">
        <f>COUNTIF(X14:X63, "&lt;&gt;All Clear")</f>
        <v/>
      </c>
    </row>
    <row r="67">
      <c r="C67" s="20" t="inlineStr">
        <is>
          <t>Total No. Appeared Students:</t>
        </is>
      </c>
      <c r="D67" s="18">
        <f>D65+D66</f>
        <v/>
      </c>
      <c r="E67" s="18" t="n"/>
      <c r="F67" s="18">
        <f>F65+F66</f>
        <v/>
      </c>
      <c r="G67" s="18" t="n"/>
      <c r="H67" s="18">
        <f>H65+H66</f>
        <v/>
      </c>
      <c r="I67" s="18" t="n"/>
      <c r="J67" s="18">
        <f>J65+J66</f>
        <v/>
      </c>
      <c r="K67" s="18" t="n"/>
      <c r="L67" s="18">
        <f>L65+L66</f>
        <v/>
      </c>
      <c r="M67" s="18" t="n"/>
      <c r="N67" s="18">
        <f>N65+N66</f>
        <v/>
      </c>
      <c r="O67" s="18" t="n"/>
      <c r="P67" s="18">
        <f>P65+P66</f>
        <v/>
      </c>
      <c r="Q67" s="18" t="n"/>
      <c r="R67" s="18">
        <f>R65+R66</f>
        <v/>
      </c>
      <c r="S67" s="18" t="n"/>
      <c r="T67" s="18">
        <f>T65+T66</f>
        <v/>
      </c>
      <c r="U67" s="18" t="n"/>
      <c r="V67" s="18">
        <f>V65+V66</f>
        <v/>
      </c>
      <c r="W67" s="18" t="n"/>
      <c r="X67" s="17">
        <f>MAX(A14:A63)</f>
        <v/>
      </c>
    </row>
  </sheetData>
  <mergeCells count="45">
    <mergeCell ref="V12:W12"/>
    <mergeCell ref="F11:G11"/>
    <mergeCell ref="D10:E10"/>
    <mergeCell ref="N11:O11"/>
    <mergeCell ref="F10:G10"/>
    <mergeCell ref="H10:I10"/>
    <mergeCell ref="R11:S11"/>
    <mergeCell ref="J10:K10"/>
    <mergeCell ref="P10:Q10"/>
    <mergeCell ref="R10:S10"/>
    <mergeCell ref="F6:G6"/>
    <mergeCell ref="X10:X12"/>
    <mergeCell ref="F7:G7"/>
    <mergeCell ref="F12:G12"/>
    <mergeCell ref="L12:M12"/>
    <mergeCell ref="T10:U10"/>
    <mergeCell ref="H6:I6"/>
    <mergeCell ref="N12:O12"/>
    <mergeCell ref="V10:W10"/>
    <mergeCell ref="D11:E11"/>
    <mergeCell ref="P11:Q11"/>
    <mergeCell ref="K7:M7"/>
    <mergeCell ref="N6:P6"/>
    <mergeCell ref="R12:S12"/>
    <mergeCell ref="F8:G8"/>
    <mergeCell ref="H11:I11"/>
    <mergeCell ref="T12:U12"/>
    <mergeCell ref="J11:K11"/>
    <mergeCell ref="K6:M6"/>
    <mergeCell ref="T11:U11"/>
    <mergeCell ref="H7:I7"/>
    <mergeCell ref="L10:M10"/>
    <mergeCell ref="V11:W11"/>
    <mergeCell ref="N10:O10"/>
    <mergeCell ref="C1:I1"/>
    <mergeCell ref="A10:A13"/>
    <mergeCell ref="D12:E12"/>
    <mergeCell ref="N7:P7"/>
    <mergeCell ref="H12:I12"/>
    <mergeCell ref="J12:K12"/>
    <mergeCell ref="P12:Q12"/>
    <mergeCell ref="L11:M11"/>
    <mergeCell ref="B5:I5"/>
    <mergeCell ref="Y10:Y12"/>
    <mergeCell ref="H8:I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2025-09-30T18:52:11Z</dcterms:created>
  <dcterms:modified xsi:type="dcterms:W3CDTF">2025-09-30T18:52:11Z</dcterms:modified>
</cp:coreProperties>
</file>